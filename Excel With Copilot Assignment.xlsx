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iya Goel\Downloads\"/>
    </mc:Choice>
  </mc:AlternateContent>
  <xr:revisionPtr revIDLastSave="0" documentId="8_{A6C2F02B-E46D-4249-BA5A-90116ADB55AC}" xr6:coauthVersionLast="47" xr6:coauthVersionMax="47" xr10:uidLastSave="{00000000-0000-0000-0000-000000000000}"/>
  <bookViews>
    <workbookView xWindow="-108" yWindow="-108" windowWidth="23256" windowHeight="12456" activeTab="3" xr2:uid="{AB43891E-C26C-4D8E-B9E7-31ECD35729B2}"/>
  </bookViews>
  <sheets>
    <sheet name="Sheet6" sheetId="6" r:id="rId1"/>
    <sheet name="Dataset" sheetId="1" r:id="rId2"/>
    <sheet name="Mapping" sheetId="3" r:id="rId3"/>
    <sheet name="Assignment" sheetId="2" r:id="rId4"/>
    <sheet name="Dashboard" sheetId="7" r:id="rId5"/>
  </sheets>
  <definedNames>
    <definedName name="Slicer_Category">#N/A</definedName>
    <definedName name="Slicer_Region">#N/A</definedName>
  </definedNames>
  <calcPr calcId="191029"/>
  <pivotCaches>
    <pivotCache cacheId="7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 i="1" l="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B33" i="2"/>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M2" i="1"/>
  <c r="N2" i="1"/>
  <c r="M4"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M3"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2" i="1"/>
</calcChain>
</file>

<file path=xl/sharedStrings.xml><?xml version="1.0" encoding="utf-8"?>
<sst xmlns="http://schemas.openxmlformats.org/spreadsheetml/2006/main" count="2247" uniqueCount="472">
  <si>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</si>
  <si>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</si>
  <si>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</si>
  <si>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</si>
  <si>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</si>
  <si>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</si>
  <si>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</si>
  <si>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</si>
  <si>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</si>
  <si>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</si>
  <si>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</si>
  <si>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</si>
  <si>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</si>
  <si>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</si>
  <si>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</si>
  <si>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</si>
  <si>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</si>
  <si>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</si>
  <si>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</si>
  <si>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</si>
  <si>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</si>
  <si>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</si>
  <si>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</si>
  <si>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</si>
  <si>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</si>
  <si>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</si>
  <si>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</si>
  <si>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</si>
  <si>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</si>
  <si>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</si>
  <si>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</si>
  <si>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</si>
  <si>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</si>
  <si>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</si>
  <si>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</si>
  <si>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</si>
  <si>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</si>
  <si>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</si>
  <si>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</si>
  <si>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</si>
  <si>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</si>
  <si>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</si>
  <si>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</si>
  <si>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</si>
  <si>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</si>
  <si>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</si>
  <si>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</si>
  <si>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</si>
  <si>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</si>
  <si>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</si>
  <si>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</si>
  <si>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</si>
  <si>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</si>
  <si>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</si>
  <si>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</si>
  <si>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</si>
  <si>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</si>
  <si>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</si>
  <si>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</si>
  <si>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</si>
  <si>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</si>
  <si>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</si>
  <si>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</si>
  <si>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</si>
  <si>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</si>
  <si>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</si>
  <si>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</si>
  <si>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</si>
  <si>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</si>
  <si>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</si>
  <si>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</si>
  <si>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</si>
  <si>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</si>
  <si>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</si>
  <si>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</si>
  <si>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</si>
  <si>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</si>
  <si>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</si>
  <si>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</si>
  <si>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</si>
  <si>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</si>
  <si>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</si>
  <si>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</si>
  <si>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</si>
  <si>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</si>
  <si>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</si>
  <si>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</si>
  <si>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</si>
  <si>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</si>
  <si>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</si>
  <si>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</si>
  <si>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</si>
  <si>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</si>
  <si>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</si>
  <si>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</si>
  <si>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</si>
  <si>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</si>
  <si>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</si>
  <si>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</si>
  <si>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</si>
  <si>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</si>
  <si>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</si>
  <si>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</si>
  <si>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</si>
  <si>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</si>
  <si>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</si>
  <si>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</si>
  <si>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</si>
  <si>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</si>
  <si>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</si>
  <si>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</si>
  <si>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</si>
  <si>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</si>
  <si>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</si>
  <si>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</si>
  <si>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</si>
  <si>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</si>
  <si>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</si>
  <si>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</si>
  <si>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</si>
  <si>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</si>
  <si>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</si>
  <si>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</si>
  <si>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</si>
  <si>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</si>
  <si>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</si>
  <si>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</si>
  <si>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</si>
  <si>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</si>
  <si>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</si>
  <si>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</si>
  <si>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</si>
  <si>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</si>
  <si>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</si>
  <si>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</si>
  <si>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</si>
  <si>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</si>
  <si>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</si>
  <si>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</si>
  <si>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</si>
  <si>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</si>
  <si>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</si>
  <si>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</si>
  <si>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</si>
  <si>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</si>
  <si>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</si>
  <si>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</si>
  <si>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</si>
  <si>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</si>
  <si>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</si>
  <si>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</si>
  <si>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</si>
  <si>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</si>
  <si>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</si>
  <si>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</si>
  <si>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</si>
  <si>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</si>
  <si>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</si>
  <si>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</si>
  <si>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</si>
  <si>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</si>
  <si>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</si>
  <si>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</si>
  <si>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</si>
  <si>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</si>
  <si>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</si>
  <si>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</si>
  <si>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</si>
  <si>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</si>
  <si>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</si>
  <si>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</si>
  <si>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</si>
  <si>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</si>
  <si>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</si>
  <si>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</si>
  <si>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</si>
  <si>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</si>
  <si>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</si>
  <si>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</si>
  <si>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</si>
  <si>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</si>
  <si>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</si>
  <si>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</si>
  <si>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</si>
  <si>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</si>
  <si>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</si>
  <si>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</si>
  <si>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</si>
  <si>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</si>
  <si>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</si>
  <si>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</si>
  <si>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</si>
  <si>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</si>
  <si>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</si>
  <si>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</si>
  <si>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</si>
  <si>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</si>
  <si>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</si>
  <si>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</si>
  <si>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</si>
  <si>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</si>
  <si>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</si>
  <si>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</si>
  <si>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</si>
  <si>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</si>
  <si>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</si>
  <si>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</si>
  <si>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</si>
  <si>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</si>
  <si>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</si>
  <si>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</si>
  <si>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</si>
  <si>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</si>
  <si>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</si>
  <si>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</si>
  <si>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</si>
  <si>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</si>
  <si>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</si>
  <si>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</si>
  <si>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</si>
  <si>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</si>
  <si>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</si>
  <si>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</si>
  <si>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</si>
  <si>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</si>
  <si>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</si>
  <si>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</si>
  <si>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</si>
  <si>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</si>
  <si>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</si>
  <si>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</si>
  <si>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</si>
  <si>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</si>
  <si>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</si>
  <si>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</si>
  <si>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</si>
  <si>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</si>
  <si>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</si>
  <si>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</si>
  <si>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</si>
  <si>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</si>
  <si>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</si>
  <si>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</si>
  <si>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</si>
  <si>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</si>
  <si>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</si>
  <si>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</si>
  <si>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</si>
  <si>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</si>
  <si>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</si>
  <si>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</si>
  <si>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</si>
  <si>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</si>
  <si>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</si>
  <si>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</si>
  <si>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</si>
  <si>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</si>
  <si>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</si>
  <si>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</si>
  <si>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</si>
  <si>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</si>
  <si>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</si>
  <si>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</si>
  <si>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</si>
  <si>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</si>
  <si>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</si>
  <si>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</si>
  <si>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</si>
  <si>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</si>
  <si>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</si>
  <si>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</si>
  <si>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</si>
  <si>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</si>
  <si>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</si>
  <si>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</si>
  <si>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</si>
  <si>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</si>
  <si>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</si>
  <si>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</si>
  <si>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</si>
  <si>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</si>
  <si>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</si>
  <si>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</si>
  <si>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</si>
  <si>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</si>
  <si>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</si>
  <si>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</si>
  <si>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</si>
  <si>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</si>
  <si>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</si>
  <si>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</si>
  <si>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</si>
  <si>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</si>
  <si>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</si>
  <si>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</si>
  <si>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</si>
  <si>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</si>
  <si>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</si>
  <si>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</si>
  <si>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</si>
  <si>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</si>
  <si>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</si>
  <si>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</si>
  <si>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</si>
  <si>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</si>
  <si>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</si>
  <si>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</si>
  <si>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</si>
  <si>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</si>
  <si>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</si>
  <si>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</si>
  <si>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</si>
  <si>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</si>
  <si>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</si>
  <si>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</si>
  <si>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</si>
  <si>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</si>
  <si>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</si>
  <si>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</si>
  <si>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</si>
  <si>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</si>
  <si>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</si>
  <si>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</si>
  <si>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</si>
  <si>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</si>
  <si>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</si>
  <si>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</si>
  <si>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</si>
  <si>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</si>
  <si>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</si>
  <si>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</si>
  <si>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</si>
  <si>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</si>
  <si>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</si>
  <si>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</si>
  <si>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</si>
  <si>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</si>
  <si>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</si>
  <si>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</si>
  <si>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</si>
  <si>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</si>
  <si>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</si>
  <si>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</si>
  <si>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</si>
  <si>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</si>
  <si>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</si>
  <si>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</si>
  <si>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</si>
  <si>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</si>
  <si>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</si>
  <si>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</si>
  <si>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</si>
  <si>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</si>
  <si>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</si>
  <si>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</si>
  <si>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</si>
  <si>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</si>
  <si>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</si>
  <si>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</si>
  <si>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</si>
  <si>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</si>
  <si>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</si>
  <si>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</si>
  <si>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</si>
  <si>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</si>
  <si>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</si>
  <si>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</si>
  <si>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</si>
  <si>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</si>
  <si>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</si>
  <si>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</si>
  <si>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</si>
  <si>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</si>
  <si>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</si>
  <si>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</si>
  <si>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</si>
  <si>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</si>
  <si>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</si>
  <si>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</si>
  <si>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Q1. Use Copilot to identify and summarize missing values in the dataset.</t>
  </si>
  <si>
    <t>Missing Values by Column</t>
  </si>
  <si>
    <t>Q2. Use Copilot to fill missing values in the Region and category columns.</t>
  </si>
  <si>
    <t>Filled values in Region</t>
  </si>
  <si>
    <t>Filled value in Category</t>
  </si>
  <si>
    <t>Filled values in unit sold</t>
  </si>
  <si>
    <t>Q3. Fill missing numeric values in the Unit Sold and Unit Price columns.</t>
  </si>
  <si>
    <t>Filled values in unit price</t>
  </si>
  <si>
    <t xml:space="preserve"> =  IF(I2="", AVERAGEIF(Dataset!D:D, D2, Dataset!I:I), I2)</t>
  </si>
  <si>
    <t xml:space="preserve"> =  IF(H2="", AVERAGEIF(Dataset!D:D, D2, Dataset!H:H), H2)</t>
  </si>
  <si>
    <t xml:space="preserve"> For filling missing value in Unit sold column</t>
  </si>
  <si>
    <t xml:space="preserve"> For filling missing value in Unit price column</t>
  </si>
  <si>
    <t>Q4. Create a new calculated column "Total revenue"</t>
  </si>
  <si>
    <t>Total Revenue</t>
  </si>
  <si>
    <t>Total Revenue  =  IF(OR(H2="",I2=""),"",H2*I2)</t>
  </si>
  <si>
    <t>Q5. Use Copilot to find the total price of Order ID = ‘ORD0123’.</t>
  </si>
  <si>
    <t>Q6. Use Copilot to generate a summary chart of average profit by region.</t>
  </si>
  <si>
    <t>Price</t>
  </si>
  <si>
    <t>Row Labels</t>
  </si>
  <si>
    <t>(blank)</t>
  </si>
  <si>
    <t>Grand Total</t>
  </si>
  <si>
    <t>Average of Price</t>
  </si>
  <si>
    <t>Profit=Units Sold×(Unit Price−Unit Cost)</t>
  </si>
  <si>
    <t>Select your dataset (including the new Profit column).</t>
  </si>
  <si>
    <t>Place the PivotTable in a new sheet.</t>
  </si>
  <si>
    <t>Drag Region into the Rows area.</t>
  </si>
  <si>
    <t>Drag Profit into the Values area.</t>
  </si>
  <si>
    <t>Change the Value Field Settings to Average (instead of Sum).</t>
  </si>
  <si>
    <t>1. With the PivotTable selected, go to Insert → Column Chart (or Bar Chart).</t>
  </si>
  <si>
    <t>2. This will give you a visual summary of average profit by region.</t>
  </si>
  <si>
    <t>Q7. Create a pivot table summarizing total sales by category and region</t>
  </si>
  <si>
    <t>Formula used = =IF(OR(H2="",I2=""),"",H2*I2)</t>
  </si>
  <si>
    <t>This calculates the total sales for each order.</t>
  </si>
  <si>
    <t>Drag the formula down to fill the column.</t>
  </si>
  <si>
    <t>Select your entire dataset</t>
  </si>
  <si>
    <t>In the PivotTable Field List:</t>
  </si>
  <si>
    <t>Q8. Build a dashboard combining key KPIs and charts.</t>
  </si>
  <si>
    <t>KPI's</t>
  </si>
  <si>
    <t>Total Sales = Σ(Units Sold × Unit Price)</t>
  </si>
  <si>
    <t>Total Profit = Σ(Units Sold × (Unit Price – Unit Cost))</t>
  </si>
  <si>
    <t>Average Unit Price = Average of Unit Price</t>
  </si>
  <si>
    <t>Top Category by Sales = Category with highest Total Sales</t>
  </si>
  <si>
    <t>Average Profit by region = Profit group by Region</t>
  </si>
  <si>
    <t>Top 5 orders by revenue</t>
  </si>
  <si>
    <t>Avg profit by Region</t>
  </si>
  <si>
    <t>Total sales by category</t>
  </si>
  <si>
    <t>Total sales by Region</t>
  </si>
  <si>
    <t>Q9. Use Copilot to generate a summary report.</t>
  </si>
  <si>
    <t>Dataset Summary Report</t>
  </si>
  <si>
    <t>Key KPIs</t>
  </si>
  <si>
    <t>Average Units Sold per Order = Mean of Units Sold</t>
  </si>
  <si>
    <t>Number of Orders = Count of Order IDs</t>
  </si>
  <si>
    <t>Breakdown by Category</t>
  </si>
  <si>
    <t>Breakdown by Region</t>
  </si>
  <si>
    <t>Visuals to Include</t>
  </si>
  <si>
    <t>Create PivotTables for:</t>
  </si>
  <si>
    <t>Category vs Sales/Profit</t>
  </si>
  <si>
    <t>Region vs Sales/Profit</t>
  </si>
  <si>
    <t>Insert charts linked to PivotTables.</t>
  </si>
  <si>
    <t>Arrange KPIs and charts neatly on one sheet</t>
  </si>
  <si>
    <r>
      <t xml:space="preserve">Go to </t>
    </r>
    <r>
      <rPr>
        <b/>
        <sz val="11"/>
        <color theme="1"/>
        <rFont val="Times New Roman"/>
        <family val="1"/>
      </rPr>
      <t>Insert → PivotTable</t>
    </r>
    <r>
      <rPr>
        <sz val="11"/>
        <color theme="1"/>
        <rFont val="Times New Roman"/>
        <family val="1"/>
      </rPr>
      <t>.</t>
    </r>
  </si>
  <si>
    <r>
      <t xml:space="preserve">In your </t>
    </r>
    <r>
      <rPr>
        <b/>
        <sz val="11"/>
        <color theme="1"/>
        <rFont val="Times New Roman"/>
        <family val="1"/>
      </rPr>
      <t>Dataset sheet</t>
    </r>
    <r>
      <rPr>
        <sz val="11"/>
        <color theme="1"/>
        <rFont val="Times New Roman"/>
        <family val="1"/>
      </rPr>
      <t xml:space="preserve">, insert a new column called </t>
    </r>
    <r>
      <rPr>
        <b/>
        <sz val="11"/>
        <color theme="1"/>
        <rFont val="Times New Roman"/>
        <family val="1"/>
      </rPr>
      <t>Total Revenue</t>
    </r>
  </si>
  <si>
    <r>
      <t xml:space="preserve">Choose to place the PivotTable in a </t>
    </r>
    <r>
      <rPr>
        <b/>
        <sz val="11"/>
        <color theme="1"/>
        <rFont val="Times New Roman"/>
        <family val="1"/>
      </rPr>
      <t>new worksheet</t>
    </r>
    <r>
      <rPr>
        <sz val="11"/>
        <color theme="1"/>
        <rFont val="Times New Roman"/>
        <family val="1"/>
      </rPr>
      <t>.</t>
    </r>
  </si>
  <si>
    <r>
      <t xml:space="preserve">Drag </t>
    </r>
    <r>
      <rPr>
        <b/>
        <sz val="11"/>
        <color theme="1"/>
        <rFont val="Times New Roman"/>
        <family val="1"/>
      </rPr>
      <t>Category</t>
    </r>
    <r>
      <rPr>
        <sz val="11"/>
        <color theme="1"/>
        <rFont val="Times New Roman"/>
        <family val="1"/>
      </rPr>
      <t xml:space="preserve"> to the </t>
    </r>
    <r>
      <rPr>
        <b/>
        <sz val="11"/>
        <color theme="1"/>
        <rFont val="Times New Roman"/>
        <family val="1"/>
      </rPr>
      <t>Rows</t>
    </r>
    <r>
      <rPr>
        <sz val="11"/>
        <color theme="1"/>
        <rFont val="Times New Roman"/>
        <family val="1"/>
      </rPr>
      <t xml:space="preserve"> area.</t>
    </r>
  </si>
  <si>
    <r>
      <t xml:space="preserve">Drag </t>
    </r>
    <r>
      <rPr>
        <b/>
        <sz val="11"/>
        <color theme="1"/>
        <rFont val="Times New Roman"/>
        <family val="1"/>
      </rPr>
      <t>Region</t>
    </r>
    <r>
      <rPr>
        <sz val="11"/>
        <color theme="1"/>
        <rFont val="Times New Roman"/>
        <family val="1"/>
      </rPr>
      <t xml:space="preserve"> to the </t>
    </r>
    <r>
      <rPr>
        <b/>
        <sz val="11"/>
        <color theme="1"/>
        <rFont val="Times New Roman"/>
        <family val="1"/>
      </rPr>
      <t>Columns</t>
    </r>
    <r>
      <rPr>
        <sz val="11"/>
        <color theme="1"/>
        <rFont val="Times New Roman"/>
        <family val="1"/>
      </rPr>
      <t xml:space="preserve"> area.</t>
    </r>
  </si>
  <si>
    <r>
      <t xml:space="preserve">Drag </t>
    </r>
    <r>
      <rPr>
        <b/>
        <sz val="11"/>
        <color theme="1"/>
        <rFont val="Times New Roman"/>
        <family val="1"/>
      </rPr>
      <t>Total Sales</t>
    </r>
    <r>
      <rPr>
        <sz val="11"/>
        <color theme="1"/>
        <rFont val="Times New Roman"/>
        <family val="1"/>
      </rPr>
      <t xml:space="preserve"> to the </t>
    </r>
    <r>
      <rPr>
        <b/>
        <sz val="11"/>
        <color theme="1"/>
        <rFont val="Times New Roman"/>
        <family val="1"/>
      </rPr>
      <t>Values</t>
    </r>
    <r>
      <rPr>
        <sz val="11"/>
        <color theme="1"/>
        <rFont val="Times New Roman"/>
        <family val="1"/>
      </rPr>
      <t xml:space="preserve"> area.</t>
    </r>
  </si>
  <si>
    <r>
      <t>Clustered Column Chart</t>
    </r>
    <r>
      <rPr>
        <sz val="11"/>
        <color theme="1"/>
        <rFont val="Times New Roman"/>
        <family val="1"/>
      </rPr>
      <t xml:space="preserve"> → Total Sales by Category</t>
    </r>
  </si>
  <si>
    <r>
      <t>Stacked Bar Chart</t>
    </r>
    <r>
      <rPr>
        <sz val="11"/>
        <color theme="1"/>
        <rFont val="Times New Roman"/>
        <family val="1"/>
      </rPr>
      <t xml:space="preserve"> → Total Sales by Region</t>
    </r>
  </si>
  <si>
    <r>
      <t>Line Chart</t>
    </r>
    <r>
      <rPr>
        <sz val="11"/>
        <color theme="1"/>
        <rFont val="Times New Roman"/>
        <family val="1"/>
      </rPr>
      <t xml:space="preserve"> → Average Profit by Region</t>
    </r>
  </si>
  <si>
    <r>
      <rPr>
        <b/>
        <sz val="11"/>
        <color theme="1"/>
        <rFont val="Times New Roman"/>
        <family val="1"/>
      </rPr>
      <t>Region</t>
    </r>
    <r>
      <rPr>
        <sz val="11"/>
        <color theme="1"/>
        <rFont val="Times New Roman"/>
        <family val="1"/>
      </rPr>
      <t>: Missing in several rows (e.g., ORD0010, ORD0018, ORD0031, ORD0050, ORD0118, ORD0122, ORD0222, ORD0328, ORD0332, ORD0347).</t>
    </r>
  </si>
  <si>
    <r>
      <rPr>
        <b/>
        <sz val="11"/>
        <color theme="1"/>
        <rFont val="Times New Roman"/>
        <family val="1"/>
      </rPr>
      <t>Category</t>
    </r>
    <r>
      <rPr>
        <sz val="11"/>
        <color theme="1"/>
        <rFont val="Times New Roman"/>
        <family val="1"/>
      </rPr>
      <t>: Missing in rows like ORD0025, ORD0264, ORD0284, ORD0306, ORD0307, ORD0311, ORD0324.</t>
    </r>
  </si>
  <si>
    <r>
      <rPr>
        <b/>
        <sz val="11"/>
        <color theme="1"/>
        <rFont val="Times New Roman"/>
        <family val="1"/>
      </rPr>
      <t>Units Sold</t>
    </r>
    <r>
      <rPr>
        <sz val="11"/>
        <color theme="1"/>
        <rFont val="Times New Roman"/>
        <family val="1"/>
      </rPr>
      <t>: Missing in ORD0039, ORD0131, ORD0200, ORD0251, ORD0289, ORD0314, ORD0317.</t>
    </r>
  </si>
  <si>
    <r>
      <rPr>
        <b/>
        <sz val="11"/>
        <color theme="1"/>
        <rFont val="Times New Roman"/>
        <family val="1"/>
      </rPr>
      <t>Unit Price</t>
    </r>
    <r>
      <rPr>
        <sz val="11"/>
        <color theme="1"/>
        <rFont val="Times New Roman"/>
        <family val="1"/>
      </rPr>
      <t>: Missing in ORD0028, ORD0037, ORD0045, ORD0080, ORD0157, ORD0228, ORD0308, ORD0257.</t>
    </r>
  </si>
  <si>
    <r>
      <rPr>
        <b/>
        <sz val="11"/>
        <color theme="1"/>
        <rFont val="Times New Roman"/>
        <family val="1"/>
      </rPr>
      <t>Unit Cost</t>
    </r>
    <r>
      <rPr>
        <sz val="11"/>
        <color theme="1"/>
        <rFont val="Times New Roman"/>
        <family val="1"/>
      </rPr>
      <t>: Mostly present, but a few rows have suspiciously low values (e.g., ORD0168 = 6.15, ORD0248 = 210.62 with Unit Price = 6.28).</t>
    </r>
  </si>
  <si>
    <t xml:space="preserve">Summary : </t>
  </si>
  <si>
    <t>Region column has the highest number of missing entries.</t>
  </si>
  <si>
    <t>Category is missing in multiple rows, which could affect product-level analysis.</t>
  </si>
  <si>
    <t>Units Sold and Unit Price have critical gaps — these directly impact revenue and profit calculations.</t>
  </si>
  <si>
    <t>Some rows have outliers or inconsistencies (e.g., Unit Price &lt; Unit Cost, or extremely low values).</t>
  </si>
  <si>
    <r>
      <t xml:space="preserve"> For filling missing value in Category column =</t>
    </r>
    <r>
      <rPr>
        <sz val="11"/>
        <color theme="5" tint="-0.249977111117893"/>
        <rFont val="Times New Roman"/>
        <family val="1"/>
      </rPr>
      <t xml:space="preserve"> IF(D2="", IF(H2&lt;100,"Clothing", IF(H2&lt;=250,"Food", IF(H2&lt;=400,"Furniture","Electronics"))), D2)</t>
    </r>
  </si>
  <si>
    <r>
      <t xml:space="preserve"> For filling missing value in Region column =</t>
    </r>
    <r>
      <rPr>
        <sz val="11"/>
        <color theme="5" tint="-0.249977111117893"/>
        <rFont val="Times New Roman"/>
        <family val="1"/>
      </rPr>
      <t xml:space="preserve"> IF(B2="", VLOOKUP(C2, Mapping!A:B, 2, FALSE), B2)</t>
    </r>
  </si>
  <si>
    <r>
      <t xml:space="preserve">Formula used by copilot= </t>
    </r>
    <r>
      <rPr>
        <sz val="11"/>
        <color theme="5" tint="-0.249977111117893"/>
        <rFont val="Times New Roman"/>
        <family val="1"/>
      </rPr>
      <t xml:space="preserve"> VLOOKUP("ORD0123", Dataset!A:H, 8, FALSE)</t>
    </r>
  </si>
  <si>
    <r>
      <rPr>
        <b/>
        <sz val="11"/>
        <color theme="1"/>
        <rFont val="Times New Roman"/>
        <family val="1"/>
      </rPr>
      <t>Step 1</t>
    </r>
    <r>
      <rPr>
        <sz val="11"/>
        <color theme="1"/>
        <rFont val="Times New Roman"/>
        <family val="1"/>
      </rPr>
      <t>: Add a Profit Column</t>
    </r>
  </si>
  <si>
    <r>
      <t>Formula used =</t>
    </r>
    <r>
      <rPr>
        <sz val="11"/>
        <color theme="5" tint="-0.249977111117893"/>
        <rFont val="Times New Roman"/>
        <family val="1"/>
      </rPr>
      <t>MAX(0, H2*(I2-J2))</t>
    </r>
  </si>
  <si>
    <r>
      <rPr>
        <b/>
        <sz val="11"/>
        <color theme="1"/>
        <rFont val="Times New Roman"/>
        <family val="1"/>
      </rPr>
      <t>Step 2</t>
    </r>
    <r>
      <rPr>
        <sz val="11"/>
        <color theme="1"/>
        <rFont val="Times New Roman"/>
        <family val="1"/>
      </rPr>
      <t>: Create a PivotTable</t>
    </r>
  </si>
  <si>
    <t>Go to Insert → PivotTable.</t>
  </si>
  <si>
    <r>
      <rPr>
        <b/>
        <sz val="11"/>
        <color theme="1"/>
        <rFont val="Times New Roman"/>
        <family val="1"/>
      </rPr>
      <t>Step 3</t>
    </r>
    <r>
      <rPr>
        <sz val="11"/>
        <color theme="1"/>
        <rFont val="Times New Roman"/>
        <family val="1"/>
      </rPr>
      <t>: Create a Chart</t>
    </r>
  </si>
  <si>
    <r>
      <t xml:space="preserve">Make sure the Values field is set to </t>
    </r>
    <r>
      <rPr>
        <b/>
        <sz val="11"/>
        <color theme="1"/>
        <rFont val="Times New Roman"/>
        <family val="1"/>
      </rPr>
      <t>Sum of Total Revenue.</t>
    </r>
  </si>
  <si>
    <r>
      <rPr>
        <b/>
        <sz val="11"/>
        <color theme="1"/>
        <rFont val="Times New Roman"/>
        <family val="1"/>
      </rPr>
      <t>Step 1</t>
    </r>
    <r>
      <rPr>
        <sz val="11"/>
        <color theme="1"/>
        <rFont val="Times New Roman"/>
        <family val="1"/>
      </rPr>
      <t>: Add a “Total Sales” Column</t>
    </r>
  </si>
  <si>
    <r>
      <rPr>
        <b/>
        <sz val="11"/>
        <color theme="1"/>
        <rFont val="Times New Roman"/>
        <family val="1"/>
      </rPr>
      <t>Step 2</t>
    </r>
    <r>
      <rPr>
        <sz val="11"/>
        <color theme="1"/>
        <rFont val="Times New Roman"/>
        <family val="1"/>
      </rPr>
      <t>: Create the PivotTable</t>
    </r>
  </si>
  <si>
    <r>
      <t>Showed in "</t>
    </r>
    <r>
      <rPr>
        <b/>
        <sz val="11"/>
        <color theme="7" tint="-0.499984740745262"/>
        <rFont val="Times New Roman"/>
        <family val="1"/>
      </rPr>
      <t>Dashboard</t>
    </r>
    <r>
      <rPr>
        <sz val="11"/>
        <color theme="7" tint="-0.499984740745262"/>
        <rFont val="Times New Roman"/>
        <family val="1"/>
      </rPr>
      <t>" sheet</t>
    </r>
  </si>
  <si>
    <r>
      <t>present in</t>
    </r>
    <r>
      <rPr>
        <sz val="11"/>
        <color theme="5" tint="-0.249977111117893"/>
        <rFont val="Times New Roman"/>
        <family val="1"/>
      </rPr>
      <t xml:space="preserve"> sheet 6</t>
    </r>
  </si>
  <si>
    <t>Total sales by category and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</si>
</sst>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b/>
      <sz val="12"/>
      <color theme="1"/>
      <name val="Times New Roman"/>
      <family val="1"/>
    </font>
    <font>
      <sz val="11"/>
      <color theme="7" tint="-0.499984740745262"/>
      <name val="Times New Roman"/>
      <family val="1"/>
    </font>
    <font>
      <sz val="11"/>
      <color theme="5" tint="-0.249977111117893"/>
      <name val="Times New Roman"/>
      <family val="1"/>
    </font>
    <font>
      <b/>
      <sz val="11"/>
      <color theme="7" tint="-0.499984740745262"/>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theme="6" tint="0.39997558519241921"/>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22">
    <xf numFmtId="0" fontId="0" fillId="0" borderId="0" xfId="0"/>
    <xf numFmtId="0" fontId="0" fillId="0" borderId="1" xfId="0" applyBorder="1" applyAlignment="1">
      <alignment wrapText="1"/>
    </xf>
    <xf numFmtId="22" fontId="0" fillId="0" borderId="1" xfId="0" applyNumberFormat="1" applyBorder="1" applyAlignment="1">
      <alignment horizontal="right" wrapText="1"/>
    </xf>
    <xf numFmtId="0" fontId="0" fillId="0" borderId="1" xfId="0" applyBorder="1" applyAlignment="1">
      <alignment horizontal="right" wrapText="1"/>
    </xf>
    <xf numFmtId="0" fontId="1" fillId="0" borderId="2" xfId="0" applyFont="1" applyBorder="1" applyAlignment="1">
      <alignment horizontal="center" vertical="center" wrapText="1"/>
    </xf>
    <xf numFmtId="0" fontId="0" fillId="0" borderId="2" xfId="0" applyBorder="1" applyAlignment="1">
      <alignment vertical="center" wrapText="1"/>
    </xf>
    <xf numFmtId="0" fontId="0" fillId="0" borderId="2" xfId="0" applyBorder="1"/>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0" fillId="0" borderId="5" xfId="0" applyBorder="1" applyAlignment="1">
      <alignment wrapText="1"/>
    </xf>
    <xf numFmtId="22" fontId="0" fillId="0" borderId="5" xfId="0" applyNumberFormat="1" applyBorder="1" applyAlignment="1">
      <alignment horizontal="right" wrapText="1"/>
    </xf>
    <xf numFmtId="0" fontId="0" fillId="0" borderId="5"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3" fillId="0" borderId="0" xfId="0" applyFont="1"/>
    <xf numFmtId="0" fontId="4" fillId="0" borderId="0" xfId="0" applyFont="1"/>
    <xf numFmtId="0" fontId="6" fillId="0" borderId="0" xfId="0" applyFont="1"/>
    <xf numFmtId="0" fontId="3" fillId="2" borderId="0" xfId="0" applyFont="1" applyFill="1"/>
    <xf numFmtId="0" fontId="5" fillId="0" borderId="0" xfId="0" applyFont="1"/>
    <xf numFmtId="0" fontId="2" fillId="3" borderId="0" xfId="0" applyFont="1" applyFill="1"/>
  </cellXfs>
  <cellStyles count="1">
    <cellStyle name="Normal" xfId="0" builtinId="0"/>
  </cellStyles>
  <dxfs count="15">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dd/mm/yyyy\ h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Assignment.xlsx]Sheet6!PivotTable2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Total</c:v>
                </c:pt>
              </c:strCache>
            </c:strRef>
          </c:tx>
          <c:spPr>
            <a:solidFill>
              <a:schemeClr val="accent1"/>
            </a:solidFill>
            <a:ln>
              <a:noFill/>
            </a:ln>
            <a:effectLst/>
          </c:spPr>
          <c:invertIfNegative val="0"/>
          <c:cat>
            <c:strRef>
              <c:f>Sheet6!$A$2:$A$7</c:f>
              <c:strCache>
                <c:ptCount val="5"/>
                <c:pt idx="0">
                  <c:v>East</c:v>
                </c:pt>
                <c:pt idx="1">
                  <c:v>North</c:v>
                </c:pt>
                <c:pt idx="2">
                  <c:v>South</c:v>
                </c:pt>
                <c:pt idx="3">
                  <c:v>West</c:v>
                </c:pt>
                <c:pt idx="4">
                  <c:v>(blank)</c:v>
                </c:pt>
              </c:strCache>
            </c:strRef>
          </c:cat>
          <c:val>
            <c:numRef>
              <c:f>Sheet6!$B$2:$B$7</c:f>
              <c:numCache>
                <c:formatCode>General</c:formatCode>
                <c:ptCount val="5"/>
                <c:pt idx="0">
                  <c:v>25441.372307692312</c:v>
                </c:pt>
                <c:pt idx="1">
                  <c:v>29128.169743589729</c:v>
                </c:pt>
                <c:pt idx="2">
                  <c:v>27442.176133333338</c:v>
                </c:pt>
                <c:pt idx="3">
                  <c:v>23523.964270833327</c:v>
                </c:pt>
                <c:pt idx="4">
                  <c:v>7099.4019999999991</c:v>
                </c:pt>
              </c:numCache>
            </c:numRef>
          </c:val>
          <c:extLst>
            <c:ext xmlns:c16="http://schemas.microsoft.com/office/drawing/2014/chart" uri="{C3380CC4-5D6E-409C-BE32-E72D297353CC}">
              <c16:uniqueId val="{00000000-B257-4253-86DA-F059E118DF7D}"/>
            </c:ext>
          </c:extLst>
        </c:ser>
        <c:dLbls>
          <c:showLegendKey val="0"/>
          <c:showVal val="0"/>
          <c:showCatName val="0"/>
          <c:showSerName val="0"/>
          <c:showPercent val="0"/>
          <c:showBubbleSize val="0"/>
        </c:dLbls>
        <c:gapWidth val="219"/>
        <c:overlap val="-27"/>
        <c:axId val="1599389392"/>
        <c:axId val="1599374032"/>
      </c:barChart>
      <c:catAx>
        <c:axId val="1599389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74032"/>
        <c:crosses val="autoZero"/>
        <c:auto val="1"/>
        <c:lblAlgn val="ctr"/>
        <c:lblOffset val="100"/>
        <c:noMultiLvlLbl val="0"/>
      </c:catAx>
      <c:valAx>
        <c:axId val="159937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38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Assignment.xlsx]Dashboard!PivotTable4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c:f>
              <c:strCache>
                <c:ptCount val="1"/>
                <c:pt idx="0">
                  <c:v>Total</c:v>
                </c:pt>
              </c:strCache>
            </c:strRef>
          </c:tx>
          <c:spPr>
            <a:solidFill>
              <a:schemeClr val="accent1"/>
            </a:solidFill>
            <a:ln>
              <a:noFill/>
            </a:ln>
            <a:effectLst/>
          </c:spPr>
          <c:invertIfNegative val="0"/>
          <c:cat>
            <c:strRef>
              <c:f>Dashboard!$A$3:$A$9</c:f>
              <c:strCache>
                <c:ptCount val="6"/>
                <c:pt idx="0">
                  <c:v>Beverages</c:v>
                </c:pt>
                <c:pt idx="1">
                  <c:v>Clothing</c:v>
                </c:pt>
                <c:pt idx="2">
                  <c:v>Electronics</c:v>
                </c:pt>
                <c:pt idx="3">
                  <c:v>Food</c:v>
                </c:pt>
                <c:pt idx="4">
                  <c:v>Furniture</c:v>
                </c:pt>
                <c:pt idx="5">
                  <c:v>(blank)</c:v>
                </c:pt>
              </c:strCache>
            </c:strRef>
          </c:cat>
          <c:val>
            <c:numRef>
              <c:f>Dashboard!$B$3:$B$9</c:f>
              <c:numCache>
                <c:formatCode>General</c:formatCode>
                <c:ptCount val="6"/>
                <c:pt idx="0">
                  <c:v>4853531.8899999978</c:v>
                </c:pt>
                <c:pt idx="1">
                  <c:v>3684276.4300000006</c:v>
                </c:pt>
                <c:pt idx="2">
                  <c:v>4519876.129999998</c:v>
                </c:pt>
                <c:pt idx="3">
                  <c:v>3874198.3699999992</c:v>
                </c:pt>
                <c:pt idx="4">
                  <c:v>4449742.1400000006</c:v>
                </c:pt>
              </c:numCache>
            </c:numRef>
          </c:val>
          <c:extLst>
            <c:ext xmlns:c16="http://schemas.microsoft.com/office/drawing/2014/chart" uri="{C3380CC4-5D6E-409C-BE32-E72D297353CC}">
              <c16:uniqueId val="{00000000-F4FC-4051-B731-DAF34EB0F458}"/>
            </c:ext>
          </c:extLst>
        </c:ser>
        <c:dLbls>
          <c:showLegendKey val="0"/>
          <c:showVal val="0"/>
          <c:showCatName val="0"/>
          <c:showSerName val="0"/>
          <c:showPercent val="0"/>
          <c:showBubbleSize val="0"/>
        </c:dLbls>
        <c:gapWidth val="219"/>
        <c:overlap val="-27"/>
        <c:axId val="524981296"/>
        <c:axId val="524968336"/>
      </c:barChart>
      <c:catAx>
        <c:axId val="52498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68336"/>
        <c:crosses val="autoZero"/>
        <c:auto val="1"/>
        <c:lblAlgn val="ctr"/>
        <c:lblOffset val="100"/>
        <c:noMultiLvlLbl val="0"/>
      </c:catAx>
      <c:valAx>
        <c:axId val="52496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98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Assignment.xlsx]Dashboard!PivotTable5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Dashboard!$E$2</c:f>
              <c:strCache>
                <c:ptCount val="1"/>
                <c:pt idx="0">
                  <c:v>Total</c:v>
                </c:pt>
              </c:strCache>
            </c:strRef>
          </c:tx>
          <c:spPr>
            <a:solidFill>
              <a:schemeClr val="accent1"/>
            </a:solidFill>
            <a:ln>
              <a:noFill/>
            </a:ln>
            <a:effectLst/>
          </c:spPr>
          <c:invertIfNegative val="0"/>
          <c:cat>
            <c:strRef>
              <c:f>Dashboard!$D$3:$D$8</c:f>
              <c:strCache>
                <c:ptCount val="5"/>
                <c:pt idx="0">
                  <c:v>East</c:v>
                </c:pt>
                <c:pt idx="1">
                  <c:v>North</c:v>
                </c:pt>
                <c:pt idx="2">
                  <c:v>South</c:v>
                </c:pt>
                <c:pt idx="3">
                  <c:v>West</c:v>
                </c:pt>
                <c:pt idx="4">
                  <c:v>(blank)</c:v>
                </c:pt>
              </c:strCache>
            </c:strRef>
          </c:cat>
          <c:val>
            <c:numRef>
              <c:f>Dashboard!$E$3:$E$8</c:f>
              <c:numCache>
                <c:formatCode>General</c:formatCode>
                <c:ptCount val="5"/>
                <c:pt idx="0">
                  <c:v>6484450</c:v>
                </c:pt>
                <c:pt idx="1">
                  <c:v>5062600.7300000004</c:v>
                </c:pt>
                <c:pt idx="2">
                  <c:v>4006353.2699999986</c:v>
                </c:pt>
                <c:pt idx="3">
                  <c:v>5828220.9600000009</c:v>
                </c:pt>
              </c:numCache>
            </c:numRef>
          </c:val>
          <c:extLst>
            <c:ext xmlns:c16="http://schemas.microsoft.com/office/drawing/2014/chart" uri="{C3380CC4-5D6E-409C-BE32-E72D297353CC}">
              <c16:uniqueId val="{00000000-3646-4B14-A5D7-259FBE6800BD}"/>
            </c:ext>
          </c:extLst>
        </c:ser>
        <c:dLbls>
          <c:showLegendKey val="0"/>
          <c:showVal val="0"/>
          <c:showCatName val="0"/>
          <c:showSerName val="0"/>
          <c:showPercent val="0"/>
          <c:showBubbleSize val="0"/>
        </c:dLbls>
        <c:gapWidth val="150"/>
        <c:overlap val="100"/>
        <c:axId val="470684368"/>
        <c:axId val="470684848"/>
      </c:barChart>
      <c:catAx>
        <c:axId val="47068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84848"/>
        <c:crosses val="autoZero"/>
        <c:auto val="1"/>
        <c:lblAlgn val="ctr"/>
        <c:lblOffset val="100"/>
        <c:noMultiLvlLbl val="0"/>
      </c:catAx>
      <c:valAx>
        <c:axId val="470684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8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 Assignment.xlsx]Dashboard!PivotTable6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Dashboard!$B$12</c:f>
              <c:strCache>
                <c:ptCount val="1"/>
                <c:pt idx="0">
                  <c:v>Total</c:v>
                </c:pt>
              </c:strCache>
            </c:strRef>
          </c:tx>
          <c:spPr>
            <a:ln w="28575" cap="rnd">
              <a:solidFill>
                <a:schemeClr val="accent1"/>
              </a:solidFill>
              <a:round/>
            </a:ln>
            <a:effectLst/>
          </c:spPr>
          <c:marker>
            <c:symbol val="none"/>
          </c:marker>
          <c:cat>
            <c:strRef>
              <c:f>Dashboard!$A$13:$A$18</c:f>
              <c:strCache>
                <c:ptCount val="5"/>
                <c:pt idx="0">
                  <c:v>East</c:v>
                </c:pt>
                <c:pt idx="1">
                  <c:v>North</c:v>
                </c:pt>
                <c:pt idx="2">
                  <c:v>South</c:v>
                </c:pt>
                <c:pt idx="3">
                  <c:v>West</c:v>
                </c:pt>
                <c:pt idx="4">
                  <c:v>(blank)</c:v>
                </c:pt>
              </c:strCache>
            </c:strRef>
          </c:cat>
          <c:val>
            <c:numRef>
              <c:f>Dashboard!$B$13:$B$18</c:f>
              <c:numCache>
                <c:formatCode>General</c:formatCode>
                <c:ptCount val="5"/>
                <c:pt idx="0">
                  <c:v>23861.589000000004</c:v>
                </c:pt>
                <c:pt idx="1">
                  <c:v>29128.169743589729</c:v>
                </c:pt>
                <c:pt idx="2">
                  <c:v>27081.09486842106</c:v>
                </c:pt>
                <c:pt idx="3">
                  <c:v>23523.964270833327</c:v>
                </c:pt>
              </c:numCache>
            </c:numRef>
          </c:val>
          <c:smooth val="0"/>
          <c:extLst>
            <c:ext xmlns:c16="http://schemas.microsoft.com/office/drawing/2014/chart" uri="{C3380CC4-5D6E-409C-BE32-E72D297353CC}">
              <c16:uniqueId val="{00000000-CCFA-4D75-A75A-F35CAFC8E9D8}"/>
            </c:ext>
          </c:extLst>
        </c:ser>
        <c:dLbls>
          <c:showLegendKey val="0"/>
          <c:showVal val="0"/>
          <c:showCatName val="0"/>
          <c:showSerName val="0"/>
          <c:showPercent val="0"/>
          <c:showBubbleSize val="0"/>
        </c:dLbls>
        <c:smooth val="0"/>
        <c:axId val="470711248"/>
        <c:axId val="470694928"/>
      </c:lineChart>
      <c:catAx>
        <c:axId val="470711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694928"/>
        <c:crosses val="autoZero"/>
        <c:auto val="1"/>
        <c:lblAlgn val="ctr"/>
        <c:lblOffset val="100"/>
        <c:noMultiLvlLbl val="0"/>
      </c:catAx>
      <c:valAx>
        <c:axId val="47069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711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396240</xdr:colOff>
      <xdr:row>8</xdr:row>
      <xdr:rowOff>22860</xdr:rowOff>
    </xdr:from>
    <xdr:to>
      <xdr:col>7</xdr:col>
      <xdr:colOff>45720</xdr:colOff>
      <xdr:row>23</xdr:row>
      <xdr:rowOff>22860</xdr:rowOff>
    </xdr:to>
    <xdr:graphicFrame macro="">
      <xdr:nvGraphicFramePr>
        <xdr:cNvPr id="2" name="Chart 1">
          <a:extLst>
            <a:ext uri="{FF2B5EF4-FFF2-40B4-BE49-F238E27FC236}">
              <a16:creationId xmlns:a16="http://schemas.microsoft.com/office/drawing/2014/main" id="{E9E12C41-4989-AEE4-EC76-8CE5236CC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223396</xdr:colOff>
      <xdr:row>18</xdr:row>
      <xdr:rowOff>181486</xdr:rowOff>
    </xdr:from>
    <xdr:to>
      <xdr:col>4</xdr:col>
      <xdr:colOff>113556</xdr:colOff>
      <xdr:row>33</xdr:row>
      <xdr:rowOff>86236</xdr:rowOff>
    </xdr:to>
    <xdr:graphicFrame macro="">
      <xdr:nvGraphicFramePr>
        <xdr:cNvPr id="2" name="Chart 1">
          <a:extLst>
            <a:ext uri="{FF2B5EF4-FFF2-40B4-BE49-F238E27FC236}">
              <a16:creationId xmlns:a16="http://schemas.microsoft.com/office/drawing/2014/main" id="{14B65F27-B286-B317-63A0-C718FD284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213732</xdr:colOff>
      <xdr:row>19</xdr:row>
      <xdr:rowOff>9292</xdr:rowOff>
    </xdr:from>
    <xdr:to>
      <xdr:col>9</xdr:col>
      <xdr:colOff>223025</xdr:colOff>
      <xdr:row>32</xdr:row>
      <xdr:rowOff>929</xdr:rowOff>
    </xdr:to>
    <xdr:graphicFrame macro="">
      <xdr:nvGraphicFramePr>
        <xdr:cNvPr id="3" name="Chart 2">
          <a:extLst>
            <a:ext uri="{FF2B5EF4-FFF2-40B4-BE49-F238E27FC236}">
              <a16:creationId xmlns:a16="http://schemas.microsoft.com/office/drawing/2014/main" id="{9F4898E6-E8DA-1103-0CB3-E787B11CB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446049</xdr:colOff>
      <xdr:row>15</xdr:row>
      <xdr:rowOff>37171</xdr:rowOff>
    </xdr:from>
    <xdr:to>
      <xdr:col>17</xdr:col>
      <xdr:colOff>18586</xdr:colOff>
      <xdr:row>31</xdr:row>
      <xdr:rowOff>92927</xdr:rowOff>
    </xdr:to>
    <xdr:graphicFrame macro="">
      <xdr:nvGraphicFramePr>
        <xdr:cNvPr id="4" name="Chart 3">
          <a:extLst>
            <a:ext uri="{FF2B5EF4-FFF2-40B4-BE49-F238E27FC236}">
              <a16:creationId xmlns:a16="http://schemas.microsoft.com/office/drawing/2014/main" id="{C9A43A83-B054-BCE5-7FF5-16D7F98D9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209271</xdr:colOff>
      <xdr:row>1</xdr:row>
      <xdr:rowOff>19143</xdr:rowOff>
    </xdr:from>
    <xdr:to>
      <xdr:col>6</xdr:col>
      <xdr:colOff>1294657</xdr:colOff>
      <xdr:row>10</xdr:row>
      <xdr:rowOff>65049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4F9E83F0-4D93-FCAA-3E35-5838D9C8CA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022881" y="204997"/>
              <a:ext cx="1828800" cy="171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122479</xdr:colOff>
      <xdr:row>8</xdr:row>
      <xdr:rowOff>71740</xdr:rowOff>
    </xdr:from>
    <xdr:to>
      <xdr:col>4</xdr:col>
      <xdr:colOff>1207864</xdr:colOff>
      <xdr:row>18</xdr:row>
      <xdr:rowOff>148683</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C3344D5E-D108-3B51-9FAD-6A0979B0FC0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10284" y="1558569"/>
              <a:ext cx="1828800" cy="1935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Goel" refreshedDate="46016.78190671296" createdVersion="8" refreshedVersion="8" minRefreshableVersion="3" recordCount="351" xr:uid="{1D891B7B-8CFE-4C0E-911B-054E04FA0ABC}">
  <cacheSource type="worksheet">
    <worksheetSource ref="A1:P1048576" sheet="Dataset"/>
  </cacheSource>
  <cacheFields count="16">
    <cacheField name="Order ID" numFmtId="0">
      <sharedItems containsBlank="1" count="351">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m/>
      </sharedItems>
    </cacheField>
    <cacheField name="Region" numFmtId="0">
      <sharedItems containsBlank="1" count="5">
        <s v="East"/>
        <s v="West"/>
        <s v="North"/>
        <m/>
        <s v="South"/>
      </sharedItems>
    </cacheField>
    <cacheField name="Country" numFmtId="0">
      <sharedItems containsBlank="1"/>
    </cacheField>
    <cacheField name="Category" numFmtId="0">
      <sharedItems containsBlank="1" count="6">
        <s v="Beverages"/>
        <s v="Food"/>
        <s v="Clothing"/>
        <s v="Furniture"/>
        <s v="Electronics"/>
        <m/>
      </sharedItems>
    </cacheField>
    <cacheField name="Sales Channel" numFmtId="0">
      <sharedItems containsBlank="1"/>
    </cacheField>
    <cacheField name="Order Priority" numFmtId="0">
      <sharedItems containsBlank="1"/>
    </cacheField>
    <cacheField name="Order Date" numFmtId="0">
      <sharedItems containsNonDate="0" containsDate="1" containsString="0" containsBlank="1" minDate="2023-01-01T00:00:00" maxDate="2023-12-17T00:00:00"/>
    </cacheField>
    <cacheField name="Units Sold" numFmtId="0">
      <sharedItems containsString="0" containsBlank="1" containsNumber="1" containsInteger="1" minValue="11" maxValue="498"/>
    </cacheField>
    <cacheField name="Unit Price" numFmtId="0">
      <sharedItems containsString="0" containsBlank="1" containsNumber="1" minValue="5.61" maxValue="497.76"/>
    </cacheField>
    <cacheField name="Unit Cost" numFmtId="0">
      <sharedItems containsString="0" containsBlank="1" containsNumber="1" minValue="2.13" maxValue="396.98"/>
    </cacheField>
    <cacheField name="Filled values in Region" numFmtId="0">
      <sharedItems containsBlank="1" count="5">
        <s v="East"/>
        <s v="West"/>
        <s v="North"/>
        <s v="South"/>
        <m/>
      </sharedItems>
    </cacheField>
    <cacheField name="Filled value in Category" numFmtId="0">
      <sharedItems containsBlank="1" count="6">
        <s v="Beverages"/>
        <s v="Food"/>
        <s v="Clothing"/>
        <s v="Furniture"/>
        <s v="Electronics"/>
        <m/>
      </sharedItems>
    </cacheField>
    <cacheField name="Filled values in unit sold" numFmtId="0">
      <sharedItems containsString="0" containsBlank="1" containsNumber="1" minValue="11" maxValue="498"/>
    </cacheField>
    <cacheField name="Filled values in unit price" numFmtId="0">
      <sharedItems containsBlank="1" containsMixedTypes="1" containsNumber="1" minValue="5.61" maxValue="497.76"/>
    </cacheField>
    <cacheField name="Total Revenue" numFmtId="0">
      <sharedItems containsBlank="1" containsMixedTypes="1" containsNumber="1" minValue="627.52" maxValue="239220.11" count="332">
        <n v="35936.199999999997"/>
        <n v="159560.72"/>
        <n v="84835.26"/>
        <n v="5661.5399999999991"/>
        <n v="185396.88"/>
        <n v="15095.43"/>
        <n v="8322.52"/>
        <n v="89669.7"/>
        <n v="112610.96"/>
        <n v="135939"/>
        <n v="92355"/>
        <n v="116907.05"/>
        <n v="3347.61"/>
        <n v="40676.960000000006"/>
        <n v="10439.17"/>
        <n v="122597.23000000001"/>
        <n v="77654.2"/>
        <n v="130106.2"/>
        <n v="44814.400000000001"/>
        <n v="30669.210000000003"/>
        <n v="68990.460000000006"/>
        <n v="110073.62000000001"/>
        <n v="17177.32"/>
        <n v="141882"/>
        <n v="40637.1"/>
        <n v="12506.699999999999"/>
        <n v="24913.79"/>
        <s v=""/>
        <n v="154333.9"/>
        <n v="15255"/>
        <n v="33644.189999999995"/>
        <n v="12209.33"/>
        <n v="14061.6"/>
        <n v="47674.130000000005"/>
        <n v="37336.86"/>
        <n v="75935.38"/>
        <n v="82098.899999999994"/>
        <n v="31238.35"/>
        <n v="10332.630000000001"/>
        <n v="153872.07"/>
        <n v="15495.76"/>
        <n v="131364"/>
        <n v="62705.4"/>
        <n v="81631.14"/>
        <n v="70305.53"/>
        <n v="66620.25"/>
        <n v="3049.8"/>
        <n v="69269.100000000006"/>
        <n v="53995.62"/>
        <n v="30387.87"/>
        <n v="143898.62"/>
        <n v="22387.64"/>
        <n v="33735.480000000003"/>
        <n v="45544.63"/>
        <n v="32534.84"/>
        <n v="54210"/>
        <n v="87635.760000000009"/>
        <n v="22616.28"/>
        <n v="43088.88"/>
        <n v="73932.800000000003"/>
        <n v="36807.769999999997"/>
        <n v="110565.8"/>
        <n v="63622"/>
        <n v="31087.84"/>
        <n v="111516.94"/>
        <n v="41261.649999999994"/>
        <n v="627.52"/>
        <n v="31438.799999999999"/>
        <n v="12983.24"/>
        <n v="11096.460000000001"/>
        <n v="96412.27"/>
        <n v="75286.98"/>
        <n v="13320"/>
        <n v="1668.8"/>
        <n v="142593"/>
        <n v="64282.53"/>
        <n v="159848.4"/>
        <n v="4223.62"/>
        <n v="49475.42"/>
        <n v="14465.28"/>
        <n v="85372.4"/>
        <n v="11132.03"/>
        <n v="44223.4"/>
        <n v="118131.48"/>
        <n v="48117"/>
        <n v="14515.939999999999"/>
        <n v="110390.04"/>
        <n v="23453.600000000002"/>
        <n v="104408.73"/>
        <n v="68968"/>
        <n v="10440.1"/>
        <n v="7150"/>
        <n v="29984.120000000003"/>
        <n v="23519.16"/>
        <n v="73747.08"/>
        <n v="4721.08"/>
        <n v="99294.209999999992"/>
        <n v="90941.680000000008"/>
        <n v="128563.71"/>
        <n v="44512.149999999994"/>
        <n v="197785.03"/>
        <n v="99291.839999999997"/>
        <n v="101821.5"/>
        <n v="3770.2400000000002"/>
        <n v="165292.35"/>
        <n v="31354.120000000003"/>
        <n v="50510.43"/>
        <n v="14193.76"/>
        <n v="26709.4"/>
        <n v="28127.66"/>
        <n v="21927.63"/>
        <n v="23980.440000000002"/>
        <n v="18413.920000000002"/>
        <n v="123946.61000000002"/>
        <n v="23850.54"/>
        <n v="69384.800000000003"/>
        <n v="56029.05"/>
        <n v="15849.300000000001"/>
        <n v="6609.5999999999995"/>
        <n v="47340.649999999994"/>
        <n v="99769.4"/>
        <n v="120662.08000000002"/>
        <n v="47233.24"/>
        <n v="129787.18"/>
        <n v="43827.11"/>
        <n v="15330.72"/>
        <n v="14208.689999999999"/>
        <n v="1977.3"/>
        <n v="9874.41"/>
        <n v="152628.69999999998"/>
        <n v="35005.799999999996"/>
        <n v="39586.69"/>
        <n v="140469.07999999999"/>
        <n v="16624.599999999999"/>
        <n v="3754.41"/>
        <n v="232738.38"/>
        <n v="16948.02"/>
        <n v="72819.69"/>
        <n v="154167.30000000002"/>
        <n v="53088.12"/>
        <n v="2747.67"/>
        <n v="23156.399999999998"/>
        <n v="122386.31999999999"/>
        <n v="92224.74"/>
        <n v="66677.66"/>
        <n v="15857.4"/>
        <n v="94112.079999999987"/>
        <n v="204588.75"/>
        <n v="117897"/>
        <n v="220772.37"/>
        <n v="12735.699999999999"/>
        <n v="117446.84"/>
        <n v="7456.6799999999994"/>
        <n v="11990.55"/>
        <n v="114473.2"/>
        <n v="14297.36"/>
        <n v="184403.25"/>
        <n v="220534.8"/>
        <n v="176646.6"/>
        <n v="3335.93"/>
        <n v="70992"/>
        <n v="2065.35"/>
        <n v="160557"/>
        <n v="168475.03"/>
        <n v="108854.34999999999"/>
        <n v="65238.6"/>
        <n v="5865.34"/>
        <n v="208351.44"/>
        <n v="17497.079999999998"/>
        <n v="176654.66"/>
        <n v="95098.08"/>
        <n v="7293.5999999999995"/>
        <n v="91361.200000000012"/>
        <n v="64339.200000000004"/>
        <n v="93183.3"/>
        <n v="50940.42"/>
        <n v="23847.599999999999"/>
        <n v="73651.11"/>
        <n v="82123.47"/>
        <n v="41736.14"/>
        <n v="50622.080000000002"/>
        <n v="105970.29000000001"/>
        <n v="1140.18"/>
        <n v="9163.6"/>
        <n v="41361.839999999997"/>
        <n v="11630.88"/>
        <n v="77699.520000000004"/>
        <n v="87441.12"/>
        <n v="106926.77"/>
        <n v="116615.1"/>
        <n v="190533.15000000002"/>
        <n v="46212.55"/>
        <n v="1767.3"/>
        <n v="24570"/>
        <n v="125666.64"/>
        <n v="46408.799999999996"/>
        <n v="108913.92"/>
        <n v="18619.530000000002"/>
        <n v="75056.159999999989"/>
        <n v="58453.2"/>
        <n v="161626.5"/>
        <n v="121510.62"/>
        <n v="163183.67999999999"/>
        <n v="58062.48"/>
        <n v="30074.29"/>
        <n v="15668.92"/>
        <n v="205828.36000000002"/>
        <n v="7897.68"/>
        <n v="33026.939999999995"/>
        <n v="46575.86"/>
        <n v="41658.400000000001"/>
        <n v="33330.99"/>
        <n v="25325.7"/>
        <n v="89760.51"/>
        <n v="5542.53"/>
        <n v="95286.099999999991"/>
        <n v="130242"/>
        <n v="58257.990000000005"/>
        <n v="10532.16"/>
        <n v="24855.870000000003"/>
        <n v="89095.049999999988"/>
        <n v="235447.36000000002"/>
        <n v="63520.380000000005"/>
        <n v="26890.26"/>
        <n v="20988"/>
        <n v="7316.97"/>
        <n v="35278.32"/>
        <n v="3469.32"/>
        <n v="27662.28"/>
        <n v="23466.66"/>
        <n v="20111.52"/>
        <n v="181878.84"/>
        <n v="77020.12"/>
        <n v="21972.559999999998"/>
        <n v="178645.6"/>
        <n v="36079.1"/>
        <n v="8765.4600000000009"/>
        <n v="19691.75"/>
        <n v="2430.36"/>
        <n v="127036.8"/>
        <n v="107384.12999999999"/>
        <n v="9549.5999999999985"/>
        <n v="52661.34"/>
        <n v="21138.81"/>
        <n v="39469.700000000004"/>
        <n v="210386.88"/>
        <n v="109691.14000000001"/>
        <n v="32227.3"/>
        <n v="53927.48"/>
        <n v="7673.94"/>
        <n v="59038"/>
        <n v="178922.52000000002"/>
        <n v="174173.97"/>
        <n v="25944.799999999999"/>
        <n v="47911.549999999996"/>
        <n v="10171.980000000001"/>
        <n v="47968.799999999996"/>
        <n v="153653.84"/>
        <n v="19365.48"/>
        <n v="109080"/>
        <n v="6813.09"/>
        <n v="34147.979999999996"/>
        <n v="25935.46"/>
        <n v="8671.86"/>
        <n v="91745.94"/>
        <n v="37401.279999999999"/>
        <n v="154792.95000000001"/>
        <n v="11166.259999999998"/>
        <n v="26087.460000000003"/>
        <n v="52837.5"/>
        <n v="31256.160000000003"/>
        <n v="59419.5"/>
        <n v="9189.74"/>
        <n v="4513.3999999999996"/>
        <n v="112728.4"/>
        <n v="45538.86"/>
        <n v="131758.06"/>
        <n v="68943.930000000008"/>
        <n v="125091.48000000001"/>
        <n v="25590.560000000001"/>
        <n v="31468.74"/>
        <n v="14994.999999999998"/>
        <n v="83471.899999999994"/>
        <n v="15864.4"/>
        <n v="67573.16"/>
        <n v="17076.95"/>
        <n v="37854.310000000005"/>
        <n v="196715.44"/>
        <n v="29944.05"/>
        <n v="12638.779999999999"/>
        <n v="30578.6"/>
        <n v="14061.22"/>
        <n v="58083.9"/>
        <n v="25163.86"/>
        <n v="100087.95"/>
        <n v="42164.25"/>
        <n v="7758.41"/>
        <n v="2031.26"/>
        <n v="116475.84"/>
        <n v="41169.040000000001"/>
        <n v="137399.79999999999"/>
        <n v="20701.62"/>
        <n v="204914.52"/>
        <n v="27460.66"/>
        <n v="47330"/>
        <n v="14570.57"/>
        <n v="86191.35"/>
        <n v="23993.759999999998"/>
        <n v="83593.37000000001"/>
        <n v="56642.559999999998"/>
        <n v="48580.29"/>
        <n v="43932.81"/>
        <n v="25459.85"/>
        <n v="9776.64"/>
        <n v="239220.11"/>
        <n v="1714.65"/>
        <n v="142041.59999999998"/>
        <n v="168446.02"/>
        <n v="39441.54"/>
        <n v="124507.98000000001"/>
        <n v="23868"/>
        <n v="43110.240000000005"/>
        <n v="181704.6"/>
        <n v="57158.64"/>
        <n v="122173.79999999999"/>
        <n v="4606.0199999999995"/>
        <n v="22726.06"/>
        <n v="2971.6800000000003"/>
        <n v="23272.32"/>
        <n v="27269.280000000002"/>
        <n v="74005.25"/>
        <m/>
      </sharedItems>
    </cacheField>
    <cacheField name="Price" numFmtId="0">
      <sharedItems containsString="0" containsBlank="1" containsNumber="1" minValue="0" maxValue="224464.59"/>
    </cacheField>
  </cacheFields>
  <extLst>
    <ext xmlns:x14="http://schemas.microsoft.com/office/spreadsheetml/2009/9/main" uri="{725AE2AE-9491-48be-B2B4-4EB974FC3084}">
      <x14:pivotCacheDefinition pivotCacheId="96666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1">
  <r>
    <x v="0"/>
    <x v="0"/>
    <s v="Germany"/>
    <x v="0"/>
    <s v="Online"/>
    <s v="High"/>
    <d v="2023-01-01T00:00:00"/>
    <n v="235"/>
    <n v="152.91999999999999"/>
    <n v="153.6"/>
    <x v="0"/>
    <x v="0"/>
    <n v="235"/>
    <n v="152.91999999999999"/>
    <x v="0"/>
    <n v="0"/>
  </r>
  <r>
    <x v="1"/>
    <x v="1"/>
    <s v="India"/>
    <x v="1"/>
    <s v="Online"/>
    <s v="Low"/>
    <d v="2023-01-02T00:00:00"/>
    <n v="341"/>
    <n v="467.92"/>
    <n v="139.84"/>
    <x v="1"/>
    <x v="1"/>
    <n v="341"/>
    <n v="467.92"/>
    <x v="1"/>
    <n v="111875.28000000001"/>
  </r>
  <r>
    <x v="2"/>
    <x v="2"/>
    <s v="India"/>
    <x v="2"/>
    <s v="Offline"/>
    <s v="High"/>
    <d v="2023-01-03T00:00:00"/>
    <n v="179"/>
    <n v="473.94"/>
    <n v="97.14"/>
    <x v="2"/>
    <x v="2"/>
    <n v="179"/>
    <n v="473.94"/>
    <x v="2"/>
    <n v="67447.199999999997"/>
  </r>
  <r>
    <x v="3"/>
    <x v="0"/>
    <s v="USA"/>
    <x v="3"/>
    <s v="Offline"/>
    <s v="Medium"/>
    <d v="2023-01-04T00:00:00"/>
    <n v="18"/>
    <n v="314.52999999999997"/>
    <n v="204.87"/>
    <x v="0"/>
    <x v="3"/>
    <n v="18"/>
    <n v="314.52999999999997"/>
    <x v="3"/>
    <n v="1973.8799999999994"/>
  </r>
  <r>
    <x v="4"/>
    <x v="0"/>
    <s v="India"/>
    <x v="3"/>
    <s v="Offline"/>
    <s v="Medium"/>
    <d v="2023-01-05T00:00:00"/>
    <n v="472"/>
    <n v="392.79"/>
    <n v="330.46"/>
    <x v="0"/>
    <x v="3"/>
    <n v="472"/>
    <n v="392.79"/>
    <x v="4"/>
    <n v="29419.76000000002"/>
  </r>
  <r>
    <x v="5"/>
    <x v="1"/>
    <s v="UK"/>
    <x v="2"/>
    <s v="Online"/>
    <s v="High"/>
    <d v="2023-01-06T00:00:00"/>
    <n v="49"/>
    <n v="308.07"/>
    <n v="113.32"/>
    <x v="1"/>
    <x v="2"/>
    <n v="49"/>
    <n v="308.07"/>
    <x v="5"/>
    <n v="9542.75"/>
  </r>
  <r>
    <x v="6"/>
    <x v="2"/>
    <s v="Germany"/>
    <x v="2"/>
    <s v="Online"/>
    <s v="Low"/>
    <d v="2023-01-07T00:00:00"/>
    <n v="34"/>
    <n v="244.78"/>
    <n v="377.07"/>
    <x v="2"/>
    <x v="2"/>
    <n v="34"/>
    <n v="244.78"/>
    <x v="6"/>
    <n v="0"/>
  </r>
  <r>
    <x v="7"/>
    <x v="2"/>
    <s v="India"/>
    <x v="0"/>
    <s v="Online"/>
    <s v="High"/>
    <d v="2023-01-08T00:00:00"/>
    <n v="270"/>
    <n v="332.11"/>
    <n v="349.59"/>
    <x v="2"/>
    <x v="0"/>
    <n v="270"/>
    <n v="332.11"/>
    <x v="7"/>
    <n v="0"/>
  </r>
  <r>
    <x v="8"/>
    <x v="0"/>
    <s v="India"/>
    <x v="0"/>
    <s v="Online"/>
    <s v="Low"/>
    <d v="2023-01-09T00:00:00"/>
    <n v="404"/>
    <n v="278.74"/>
    <n v="66.38"/>
    <x v="0"/>
    <x v="0"/>
    <n v="404"/>
    <n v="278.74"/>
    <x v="8"/>
    <n v="85793.44"/>
  </r>
  <r>
    <x v="9"/>
    <x v="3"/>
    <s v="USA"/>
    <x v="3"/>
    <s v="Online"/>
    <s v="Medium"/>
    <d v="2023-01-10T00:00:00"/>
    <n v="452"/>
    <n v="300.75"/>
    <n v="314.94"/>
    <x v="0"/>
    <x v="3"/>
    <n v="452"/>
    <n v="300.75"/>
    <x v="9"/>
    <n v="0"/>
  </r>
  <r>
    <x v="10"/>
    <x v="0"/>
    <s v="USA"/>
    <x v="1"/>
    <s v="Online"/>
    <s v="Low"/>
    <d v="2023-01-11T00:00:00"/>
    <n v="235"/>
    <n v="393"/>
    <n v="230.69"/>
    <x v="0"/>
    <x v="1"/>
    <n v="235"/>
    <n v="393"/>
    <x v="10"/>
    <n v="38142.85"/>
  </r>
  <r>
    <x v="11"/>
    <x v="0"/>
    <s v="UK"/>
    <x v="3"/>
    <s v="Offline"/>
    <s v="Medium"/>
    <d v="2023-01-12T00:00:00"/>
    <n v="481"/>
    <n v="243.05"/>
    <n v="227.5"/>
    <x v="0"/>
    <x v="3"/>
    <n v="481"/>
    <n v="243.05"/>
    <x v="11"/>
    <n v="7479.5500000000056"/>
  </r>
  <r>
    <x v="12"/>
    <x v="0"/>
    <s v="Germany"/>
    <x v="1"/>
    <s v="Offline"/>
    <s v="Low"/>
    <d v="2023-01-13T00:00:00"/>
    <n v="133"/>
    <n v="25.17"/>
    <n v="157.63999999999999"/>
    <x v="0"/>
    <x v="1"/>
    <n v="133"/>
    <n v="25.17"/>
    <x v="12"/>
    <n v="0"/>
  </r>
  <r>
    <x v="13"/>
    <x v="0"/>
    <s v="USA"/>
    <x v="1"/>
    <s v="Offline"/>
    <s v="Low"/>
    <d v="2023-01-14T00:00:00"/>
    <n v="472"/>
    <n v="86.18"/>
    <n v="201.46"/>
    <x v="0"/>
    <x v="1"/>
    <n v="472"/>
    <n v="86.18"/>
    <x v="13"/>
    <n v="0"/>
  </r>
  <r>
    <x v="14"/>
    <x v="1"/>
    <s v="India"/>
    <x v="0"/>
    <s v="Offline"/>
    <s v="Low"/>
    <d v="2023-01-15T00:00:00"/>
    <n v="47"/>
    <n v="222.11"/>
    <n v="160.08000000000001"/>
    <x v="1"/>
    <x v="0"/>
    <n v="47"/>
    <n v="222.11"/>
    <x v="14"/>
    <n v="2915.41"/>
  </r>
  <r>
    <x v="15"/>
    <x v="2"/>
    <s v="Germany"/>
    <x v="4"/>
    <s v="Online"/>
    <s v="High"/>
    <d v="2023-01-16T00:00:00"/>
    <n v="337"/>
    <n v="363.79"/>
    <n v="216.81"/>
    <x v="2"/>
    <x v="4"/>
    <n v="337"/>
    <n v="363.79"/>
    <x v="15"/>
    <n v="49532.260000000009"/>
  </r>
  <r>
    <x v="16"/>
    <x v="1"/>
    <s v="Germany"/>
    <x v="4"/>
    <s v="Online"/>
    <s v="High"/>
    <d v="2023-01-17T00:00:00"/>
    <n v="260"/>
    <n v="298.67"/>
    <n v="251.92"/>
    <x v="1"/>
    <x v="4"/>
    <n v="260"/>
    <n v="298.67"/>
    <x v="16"/>
    <n v="12155.000000000007"/>
  </r>
  <r>
    <x v="17"/>
    <x v="3"/>
    <s v="India"/>
    <x v="2"/>
    <s v="Offline"/>
    <s v="Medium"/>
    <d v="2023-01-18T00:00:00"/>
    <n v="398"/>
    <n v="326.89999999999998"/>
    <n v="270.37"/>
    <x v="0"/>
    <x v="2"/>
    <n v="398"/>
    <n v="326.89999999999998"/>
    <x v="17"/>
    <n v="22498.939999999988"/>
  </r>
  <r>
    <x v="18"/>
    <x v="1"/>
    <s v="USA"/>
    <x v="0"/>
    <s v="Online"/>
    <s v="Medium"/>
    <d v="2023-01-19T00:00:00"/>
    <n v="185"/>
    <n v="242.24"/>
    <n v="213.93"/>
    <x v="1"/>
    <x v="0"/>
    <n v="185"/>
    <n v="242.24"/>
    <x v="18"/>
    <n v="5237.3500000000004"/>
  </r>
  <r>
    <x v="19"/>
    <x v="0"/>
    <s v="India"/>
    <x v="1"/>
    <s v="Offline"/>
    <s v="High"/>
    <d v="2023-01-20T00:00:00"/>
    <n v="99"/>
    <n v="309.79000000000002"/>
    <n v="289.13"/>
    <x v="0"/>
    <x v="1"/>
    <n v="99"/>
    <n v="309.79000000000002"/>
    <x v="19"/>
    <n v="2045.3400000000024"/>
  </r>
  <r>
    <x v="20"/>
    <x v="4"/>
    <s v="Germany"/>
    <x v="4"/>
    <s v="Offline"/>
    <s v="Medium"/>
    <d v="2023-01-21T00:00:00"/>
    <n v="411"/>
    <n v="167.86"/>
    <n v="58.23"/>
    <x v="3"/>
    <x v="4"/>
    <n v="411"/>
    <n v="167.86"/>
    <x v="20"/>
    <n v="45057.930000000008"/>
  </r>
  <r>
    <x v="21"/>
    <x v="2"/>
    <s v="Australia"/>
    <x v="1"/>
    <s v="Offline"/>
    <s v="High"/>
    <d v="2023-01-22T00:00:00"/>
    <n v="463"/>
    <n v="237.74"/>
    <n v="86.37"/>
    <x v="2"/>
    <x v="1"/>
    <n v="463"/>
    <n v="237.74"/>
    <x v="21"/>
    <n v="70084.31"/>
  </r>
  <r>
    <x v="22"/>
    <x v="4"/>
    <s v="Australia"/>
    <x v="4"/>
    <s v="Online"/>
    <s v="Low"/>
    <d v="2023-01-23T00:00:00"/>
    <n v="46"/>
    <n v="373.42"/>
    <n v="327.86"/>
    <x v="3"/>
    <x v="4"/>
    <n v="46"/>
    <n v="373.42"/>
    <x v="22"/>
    <n v="2095.7600000000002"/>
  </r>
  <r>
    <x v="23"/>
    <x v="1"/>
    <s v="UK"/>
    <x v="4"/>
    <s v="Offline"/>
    <s v="Medium"/>
    <d v="2023-01-24T00:00:00"/>
    <n v="325"/>
    <n v="436.56"/>
    <n v="130.37"/>
    <x v="1"/>
    <x v="4"/>
    <n v="325"/>
    <n v="436.56"/>
    <x v="23"/>
    <n v="99511.75"/>
  </r>
  <r>
    <x v="24"/>
    <x v="1"/>
    <s v="India"/>
    <x v="5"/>
    <s v="Offline"/>
    <s v="Medium"/>
    <d v="2023-01-25T00:00:00"/>
    <n v="185"/>
    <n v="219.66"/>
    <n v="11.11"/>
    <x v="1"/>
    <x v="1"/>
    <n v="185"/>
    <n v="219.66"/>
    <x v="24"/>
    <n v="38581.75"/>
  </r>
  <r>
    <x v="25"/>
    <x v="4"/>
    <s v="India"/>
    <x v="0"/>
    <s v="Offline"/>
    <s v="High"/>
    <d v="2023-01-26T00:00:00"/>
    <n v="470"/>
    <n v="26.61"/>
    <n v="63.21"/>
    <x v="3"/>
    <x v="0"/>
    <n v="470"/>
    <n v="26.61"/>
    <x v="25"/>
    <n v="0"/>
  </r>
  <r>
    <x v="26"/>
    <x v="4"/>
    <s v="UK"/>
    <x v="3"/>
    <s v="Online"/>
    <s v="Medium"/>
    <d v="2023-01-27T00:00:00"/>
    <n v="293"/>
    <n v="85.03"/>
    <n v="91"/>
    <x v="3"/>
    <x v="3"/>
    <n v="293"/>
    <n v="85.03"/>
    <x v="26"/>
    <n v="0"/>
  </r>
  <r>
    <x v="27"/>
    <x v="4"/>
    <s v="UK"/>
    <x v="1"/>
    <s v="Online"/>
    <s v="Medium"/>
    <d v="2023-01-28T00:00:00"/>
    <n v="462"/>
    <m/>
    <n v="383.01"/>
    <x v="3"/>
    <x v="1"/>
    <n v="462"/>
    <n v="259.99928571428569"/>
    <x v="27"/>
    <n v="0"/>
  </r>
  <r>
    <x v="28"/>
    <x v="1"/>
    <s v="UK"/>
    <x v="0"/>
    <s v="Offline"/>
    <s v="Low"/>
    <d v="2023-01-29T00:00:00"/>
    <n v="470"/>
    <n v="328.37"/>
    <n v="230.07"/>
    <x v="1"/>
    <x v="0"/>
    <n v="470"/>
    <n v="328.37"/>
    <x v="28"/>
    <n v="46201.000000000007"/>
  </r>
  <r>
    <x v="29"/>
    <x v="1"/>
    <s v="Germany"/>
    <x v="0"/>
    <s v="Online"/>
    <s v="Medium"/>
    <d v="2023-01-30T00:00:00"/>
    <n v="90"/>
    <n v="169.5"/>
    <n v="373.23"/>
    <x v="1"/>
    <x v="0"/>
    <n v="90"/>
    <n v="169.5"/>
    <x v="29"/>
    <n v="0"/>
  </r>
  <r>
    <x v="30"/>
    <x v="3"/>
    <s v="India"/>
    <x v="0"/>
    <s v="Online"/>
    <s v="Low"/>
    <d v="2023-01-31T00:00:00"/>
    <n v="123"/>
    <n v="273.52999999999997"/>
    <n v="230.92"/>
    <x v="0"/>
    <x v="0"/>
    <n v="123"/>
    <n v="273.52999999999997"/>
    <x v="30"/>
    <n v="5241.0299999999979"/>
  </r>
  <r>
    <x v="31"/>
    <x v="2"/>
    <s v="Germany"/>
    <x v="0"/>
    <s v="Online"/>
    <s v="High"/>
    <d v="2023-02-01T00:00:00"/>
    <n v="49"/>
    <n v="249.17"/>
    <n v="192.78"/>
    <x v="2"/>
    <x v="0"/>
    <n v="49"/>
    <n v="249.17"/>
    <x v="31"/>
    <n v="2763.1099999999992"/>
  </r>
  <r>
    <x v="32"/>
    <x v="1"/>
    <s v="UK"/>
    <x v="0"/>
    <s v="Online"/>
    <s v="Medium"/>
    <d v="2023-02-02T00:00:00"/>
    <n v="310"/>
    <n v="45.36"/>
    <n v="126.86"/>
    <x v="1"/>
    <x v="0"/>
    <n v="310"/>
    <n v="45.36"/>
    <x v="32"/>
    <n v="0"/>
  </r>
  <r>
    <x v="33"/>
    <x v="4"/>
    <s v="India"/>
    <x v="2"/>
    <s v="Online"/>
    <s v="Low"/>
    <d v="2023-02-03T00:00:00"/>
    <n v="233"/>
    <n v="204.61"/>
    <n v="243.34"/>
    <x v="3"/>
    <x v="2"/>
    <n v="233"/>
    <n v="204.61"/>
    <x v="33"/>
    <n v="0"/>
  </r>
  <r>
    <x v="34"/>
    <x v="4"/>
    <s v="Germany"/>
    <x v="1"/>
    <s v="Online"/>
    <s v="High"/>
    <d v="2023-02-04T00:00:00"/>
    <n v="327"/>
    <n v="114.18"/>
    <n v="57.4"/>
    <x v="3"/>
    <x v="1"/>
    <n v="327"/>
    <n v="114.18"/>
    <x v="34"/>
    <n v="18567.060000000001"/>
  </r>
  <r>
    <x v="35"/>
    <x v="2"/>
    <s v="Germany"/>
    <x v="0"/>
    <s v="Online"/>
    <s v="Medium"/>
    <d v="2023-02-05T00:00:00"/>
    <n v="358"/>
    <n v="212.11"/>
    <n v="359.51"/>
    <x v="2"/>
    <x v="0"/>
    <n v="358"/>
    <n v="212.11"/>
    <x v="35"/>
    <n v="0"/>
  </r>
  <r>
    <x v="36"/>
    <x v="1"/>
    <s v="UK"/>
    <x v="1"/>
    <s v="Online"/>
    <s v="High"/>
    <d v="2023-02-06T00:00:00"/>
    <n v="124"/>
    <m/>
    <n v="332.07"/>
    <x v="1"/>
    <x v="1"/>
    <n v="124"/>
    <n v="259.99928571428569"/>
    <x v="27"/>
    <n v="0"/>
  </r>
  <r>
    <x v="37"/>
    <x v="2"/>
    <s v="India"/>
    <x v="2"/>
    <s v="Online"/>
    <s v="Medium"/>
    <d v="2023-02-07T00:00:00"/>
    <n v="195"/>
    <n v="421.02"/>
    <n v="128.38"/>
    <x v="2"/>
    <x v="2"/>
    <n v="195"/>
    <n v="421.02"/>
    <x v="36"/>
    <n v="57064.799999999996"/>
  </r>
  <r>
    <x v="38"/>
    <x v="2"/>
    <s v="UK"/>
    <x v="2"/>
    <s v="Online"/>
    <s v="High"/>
    <d v="2023-02-08T00:00:00"/>
    <m/>
    <n v="91.23"/>
    <n v="381.21"/>
    <x v="2"/>
    <x v="2"/>
    <n v="229.63076923076923"/>
    <n v="91.23"/>
    <x v="27"/>
    <n v="0"/>
  </r>
  <r>
    <x v="39"/>
    <x v="0"/>
    <s v="India"/>
    <x v="1"/>
    <s v="Offline"/>
    <s v="High"/>
    <d v="2023-02-09T00:00:00"/>
    <n v="65"/>
    <n v="480.59"/>
    <n v="330.43"/>
    <x v="0"/>
    <x v="1"/>
    <n v="65"/>
    <n v="480.59"/>
    <x v="37"/>
    <n v="9760.3999999999978"/>
  </r>
  <r>
    <x v="40"/>
    <x v="0"/>
    <s v="Australia"/>
    <x v="4"/>
    <s v="Offline"/>
    <s v="Low"/>
    <d v="2023-02-10T00:00:00"/>
    <n v="49"/>
    <n v="210.87"/>
    <n v="267.19"/>
    <x v="0"/>
    <x v="4"/>
    <n v="49"/>
    <n v="210.87"/>
    <x v="38"/>
    <n v="0"/>
  </r>
  <r>
    <x v="41"/>
    <x v="0"/>
    <s v="USA"/>
    <x v="3"/>
    <s v="Online"/>
    <s v="High"/>
    <d v="2023-02-11T00:00:00"/>
    <n v="363"/>
    <n v="423.89"/>
    <n v="50.46"/>
    <x v="0"/>
    <x v="3"/>
    <n v="363"/>
    <n v="423.89"/>
    <x v="39"/>
    <n v="135555.09"/>
  </r>
  <r>
    <x v="42"/>
    <x v="4"/>
    <s v="USA"/>
    <x v="4"/>
    <s v="Offline"/>
    <s v="Medium"/>
    <d v="2023-02-12T00:00:00"/>
    <n v="49"/>
    <n v="316.24"/>
    <n v="192.34"/>
    <x v="3"/>
    <x v="4"/>
    <n v="49"/>
    <n v="316.24"/>
    <x v="40"/>
    <n v="6071.1"/>
  </r>
  <r>
    <x v="43"/>
    <x v="1"/>
    <s v="USA"/>
    <x v="4"/>
    <s v="Offline"/>
    <s v="Medium"/>
    <d v="2023-02-13T00:00:00"/>
    <n v="356"/>
    <n v="369"/>
    <n v="203.43"/>
    <x v="1"/>
    <x v="4"/>
    <n v="356"/>
    <n v="369"/>
    <x v="41"/>
    <n v="58942.92"/>
  </r>
  <r>
    <x v="44"/>
    <x v="1"/>
    <s v="UK"/>
    <x v="4"/>
    <s v="Online"/>
    <s v="Low"/>
    <d v="2023-02-14T00:00:00"/>
    <n v="470"/>
    <m/>
    <n v="94.56"/>
    <x v="1"/>
    <x v="4"/>
    <n v="470"/>
    <n v="249.16617647058828"/>
    <x v="27"/>
    <n v="0"/>
  </r>
  <r>
    <x v="45"/>
    <x v="1"/>
    <s v="Australia"/>
    <x v="0"/>
    <s v="Online"/>
    <s v="Medium"/>
    <d v="2023-02-15T00:00:00"/>
    <n v="246"/>
    <n v="254.9"/>
    <n v="33.83"/>
    <x v="1"/>
    <x v="0"/>
    <n v="246"/>
    <n v="254.9"/>
    <x v="42"/>
    <n v="54383.22"/>
  </r>
  <r>
    <x v="46"/>
    <x v="1"/>
    <s v="India"/>
    <x v="2"/>
    <s v="Online"/>
    <s v="Medium"/>
    <d v="2023-02-16T00:00:00"/>
    <n v="298"/>
    <n v="273.93"/>
    <n v="311.14"/>
    <x v="1"/>
    <x v="2"/>
    <n v="298"/>
    <n v="273.93"/>
    <x v="43"/>
    <n v="0"/>
  </r>
  <r>
    <x v="47"/>
    <x v="0"/>
    <s v="Germany"/>
    <x v="4"/>
    <s v="Offline"/>
    <s v="Medium"/>
    <d v="2023-02-17T00:00:00"/>
    <n v="271"/>
    <n v="259.43"/>
    <n v="50.57"/>
    <x v="0"/>
    <x v="4"/>
    <n v="271"/>
    <n v="259.43"/>
    <x v="44"/>
    <n v="56601.060000000005"/>
  </r>
  <r>
    <x v="48"/>
    <x v="4"/>
    <s v="India"/>
    <x v="2"/>
    <s v="Offline"/>
    <s v="High"/>
    <d v="2023-02-18T00:00:00"/>
    <n v="225"/>
    <n v="296.08999999999997"/>
    <n v="238.53"/>
    <x v="3"/>
    <x v="2"/>
    <n v="225"/>
    <n v="296.08999999999997"/>
    <x v="45"/>
    <n v="12950.999999999995"/>
  </r>
  <r>
    <x v="49"/>
    <x v="3"/>
    <s v="Germany"/>
    <x v="1"/>
    <s v="Online"/>
    <s v="High"/>
    <d v="2023-02-19T00:00:00"/>
    <n v="156"/>
    <n v="19.55"/>
    <n v="374.71"/>
    <x v="0"/>
    <x v="1"/>
    <n v="156"/>
    <n v="19.55"/>
    <x v="46"/>
    <n v="0"/>
  </r>
  <r>
    <x v="50"/>
    <x v="0"/>
    <s v="India"/>
    <x v="3"/>
    <s v="Online"/>
    <s v="Medium"/>
    <d v="2023-02-20T00:00:00"/>
    <n v="345"/>
    <n v="200.78"/>
    <n v="350.69"/>
    <x v="0"/>
    <x v="3"/>
    <n v="345"/>
    <n v="200.78"/>
    <x v="47"/>
    <n v="0"/>
  </r>
  <r>
    <x v="51"/>
    <x v="4"/>
    <s v="Australia"/>
    <x v="1"/>
    <s v="Online"/>
    <s v="Low"/>
    <d v="2023-02-21T00:00:00"/>
    <n v="177"/>
    <n v="305.06"/>
    <n v="112.55"/>
    <x v="3"/>
    <x v="1"/>
    <n v="177"/>
    <n v="305.06"/>
    <x v="48"/>
    <n v="34074.269999999997"/>
  </r>
  <r>
    <x v="52"/>
    <x v="0"/>
    <s v="Germany"/>
    <x v="1"/>
    <s v="Offline"/>
    <s v="High"/>
    <d v="2023-02-22T00:00:00"/>
    <n v="101"/>
    <n v="300.87"/>
    <n v="340.88"/>
    <x v="0"/>
    <x v="1"/>
    <n v="101"/>
    <n v="300.87"/>
    <x v="49"/>
    <n v="0"/>
  </r>
  <r>
    <x v="53"/>
    <x v="1"/>
    <s v="UK"/>
    <x v="0"/>
    <s v="Offline"/>
    <s v="Low"/>
    <d v="2023-02-23T00:00:00"/>
    <n v="362"/>
    <n v="397.51"/>
    <n v="2.13"/>
    <x v="1"/>
    <x v="0"/>
    <n v="362"/>
    <n v="397.51"/>
    <x v="50"/>
    <n v="143127.56"/>
  </r>
  <r>
    <x v="54"/>
    <x v="0"/>
    <s v="India"/>
    <x v="3"/>
    <s v="Offline"/>
    <s v="Medium"/>
    <d v="2023-02-24T00:00:00"/>
    <n v="68"/>
    <n v="329.23"/>
    <n v="9.0399999999999991"/>
    <x v="0"/>
    <x v="3"/>
    <n v="68"/>
    <n v="329.23"/>
    <x v="51"/>
    <n v="21772.92"/>
  </r>
  <r>
    <x v="55"/>
    <x v="1"/>
    <s v="India"/>
    <x v="1"/>
    <s v="Offline"/>
    <s v="Medium"/>
    <d v="2023-02-25T00:00:00"/>
    <n v="68"/>
    <n v="496.11"/>
    <n v="241.82"/>
    <x v="1"/>
    <x v="1"/>
    <n v="68"/>
    <n v="496.11"/>
    <x v="52"/>
    <n v="17291.72"/>
  </r>
  <r>
    <x v="56"/>
    <x v="1"/>
    <s v="Germany"/>
    <x v="1"/>
    <s v="Online"/>
    <s v="High"/>
    <d v="2023-02-26T00:00:00"/>
    <n v="313"/>
    <n v="145.51"/>
    <n v="147.19"/>
    <x v="1"/>
    <x v="1"/>
    <n v="313"/>
    <n v="145.51"/>
    <x v="53"/>
    <n v="0"/>
  </r>
  <r>
    <x v="57"/>
    <x v="2"/>
    <s v="UK"/>
    <x v="3"/>
    <s v="Online"/>
    <s v="Medium"/>
    <d v="2023-02-27T00:00:00"/>
    <n v="178"/>
    <n v="182.78"/>
    <n v="155.81"/>
    <x v="2"/>
    <x v="3"/>
    <n v="178"/>
    <n v="182.78"/>
    <x v="54"/>
    <n v="4800.66"/>
  </r>
  <r>
    <x v="58"/>
    <x v="0"/>
    <s v="UK"/>
    <x v="3"/>
    <s v="Online"/>
    <s v="High"/>
    <d v="2023-02-28T00:00:00"/>
    <n v="278"/>
    <n v="195"/>
    <n v="226.65"/>
    <x v="0"/>
    <x v="3"/>
    <n v="278"/>
    <n v="195"/>
    <x v="55"/>
    <n v="0"/>
  </r>
  <r>
    <x v="59"/>
    <x v="2"/>
    <s v="Australia"/>
    <x v="1"/>
    <s v="Online"/>
    <s v="Medium"/>
    <d v="2023-03-01T00:00:00"/>
    <n v="372"/>
    <n v="235.58"/>
    <n v="78.33"/>
    <x v="2"/>
    <x v="1"/>
    <n v="372"/>
    <n v="235.58"/>
    <x v="56"/>
    <n v="58497"/>
  </r>
  <r>
    <x v="60"/>
    <x v="0"/>
    <s v="UK"/>
    <x v="3"/>
    <s v="Offline"/>
    <s v="Medium"/>
    <d v="2023-03-02T00:00:00"/>
    <n v="54"/>
    <n v="418.82"/>
    <n v="86.28"/>
    <x v="0"/>
    <x v="3"/>
    <n v="54"/>
    <n v="418.82"/>
    <x v="57"/>
    <n v="17957.159999999996"/>
  </r>
  <r>
    <x v="61"/>
    <x v="0"/>
    <s v="UK"/>
    <x v="1"/>
    <s v="Offline"/>
    <s v="High"/>
    <d v="2023-03-03T00:00:00"/>
    <n v="354"/>
    <n v="121.72"/>
    <n v="194.87"/>
    <x v="0"/>
    <x v="1"/>
    <n v="354"/>
    <n v="121.72"/>
    <x v="58"/>
    <n v="0"/>
  </r>
  <r>
    <x v="62"/>
    <x v="2"/>
    <s v="UK"/>
    <x v="1"/>
    <s v="Online"/>
    <s v="High"/>
    <d v="2023-03-04T00:00:00"/>
    <n v="190"/>
    <n v="389.12"/>
    <n v="302.19"/>
    <x v="2"/>
    <x v="1"/>
    <n v="190"/>
    <n v="389.12"/>
    <x v="59"/>
    <n v="16516.7"/>
  </r>
  <r>
    <x v="63"/>
    <x v="3"/>
    <s v="USA"/>
    <x v="0"/>
    <s v="Online"/>
    <s v="High"/>
    <d v="2023-03-05T00:00:00"/>
    <n v="179"/>
    <n v="205.63"/>
    <n v="248.56"/>
    <x v="0"/>
    <x v="0"/>
    <n v="179"/>
    <n v="205.63"/>
    <x v="60"/>
    <n v="0"/>
  </r>
  <r>
    <x v="64"/>
    <x v="0"/>
    <s v="Australia"/>
    <x v="4"/>
    <s v="Offline"/>
    <s v="Medium"/>
    <d v="2023-03-06T00:00:00"/>
    <n v="365"/>
    <n v="302.92"/>
    <n v="120.35"/>
    <x v="0"/>
    <x v="4"/>
    <n v="365"/>
    <n v="302.92"/>
    <x v="61"/>
    <n v="66638.05"/>
  </r>
  <r>
    <x v="65"/>
    <x v="4"/>
    <s v="India"/>
    <x v="1"/>
    <s v="Online"/>
    <s v="Medium"/>
    <d v="2023-03-07T00:00:00"/>
    <n v="200"/>
    <n v="318.11"/>
    <n v="173.27"/>
    <x v="3"/>
    <x v="1"/>
    <n v="200"/>
    <n v="318.11"/>
    <x v="62"/>
    <n v="28968"/>
  </r>
  <r>
    <x v="66"/>
    <x v="1"/>
    <s v="Germany"/>
    <x v="2"/>
    <s v="Offline"/>
    <s v="Low"/>
    <d v="2023-03-08T00:00:00"/>
    <n v="164"/>
    <n v="189.56"/>
    <n v="69.92"/>
    <x v="1"/>
    <x v="2"/>
    <n v="164"/>
    <n v="189.56"/>
    <x v="63"/>
    <n v="19620.96"/>
  </r>
  <r>
    <x v="67"/>
    <x v="2"/>
    <s v="India"/>
    <x v="4"/>
    <s v="Online"/>
    <s v="High"/>
    <d v="2023-03-09T00:00:00"/>
    <n v="431"/>
    <n v="258.74"/>
    <n v="31.7"/>
    <x v="2"/>
    <x v="4"/>
    <n v="431"/>
    <n v="258.74"/>
    <x v="64"/>
    <n v="97854.24"/>
  </r>
  <r>
    <x v="68"/>
    <x v="1"/>
    <s v="Australia"/>
    <x v="4"/>
    <s v="Online"/>
    <s v="Medium"/>
    <d v="2023-03-10T00:00:00"/>
    <n v="197"/>
    <n v="209.45"/>
    <n v="313.51"/>
    <x v="1"/>
    <x v="4"/>
    <n v="197"/>
    <n v="209.45"/>
    <x v="65"/>
    <n v="0"/>
  </r>
  <r>
    <x v="69"/>
    <x v="4"/>
    <s v="Germany"/>
    <x v="4"/>
    <s v="Online"/>
    <s v="Medium"/>
    <d v="2023-03-11T00:00:00"/>
    <n v="16"/>
    <n v="39.22"/>
    <n v="107.62"/>
    <x v="3"/>
    <x v="4"/>
    <n v="16"/>
    <n v="39.22"/>
    <x v="66"/>
    <n v="0"/>
  </r>
  <r>
    <x v="70"/>
    <x v="4"/>
    <s v="Australia"/>
    <x v="0"/>
    <s v="Online"/>
    <s v="High"/>
    <d v="2023-03-12T00:00:00"/>
    <n v="142"/>
    <n v="221.4"/>
    <n v="72.75"/>
    <x v="3"/>
    <x v="0"/>
    <n v="142"/>
    <n v="221.4"/>
    <x v="67"/>
    <n v="21108.3"/>
  </r>
  <r>
    <x v="71"/>
    <x v="4"/>
    <s v="UK"/>
    <x v="1"/>
    <s v="Online"/>
    <s v="Low"/>
    <d v="2023-03-13T00:00:00"/>
    <n v="244"/>
    <n v="53.21"/>
    <n v="277.26"/>
    <x v="3"/>
    <x v="1"/>
    <n v="244"/>
    <n v="53.21"/>
    <x v="68"/>
    <n v="0"/>
  </r>
  <r>
    <x v="72"/>
    <x v="2"/>
    <s v="Germany"/>
    <x v="0"/>
    <s v="Online"/>
    <s v="High"/>
    <d v="2023-03-14T00:00:00"/>
    <n v="54"/>
    <n v="205.49"/>
    <n v="247.98"/>
    <x v="2"/>
    <x v="0"/>
    <n v="54"/>
    <n v="205.49"/>
    <x v="69"/>
    <n v="0"/>
  </r>
  <r>
    <x v="73"/>
    <x v="4"/>
    <s v="UK"/>
    <x v="1"/>
    <s v="Online"/>
    <s v="Low"/>
    <d v="2023-03-15T00:00:00"/>
    <n v="323"/>
    <n v="298.49"/>
    <n v="254.01"/>
    <x v="3"/>
    <x v="1"/>
    <n v="323"/>
    <n v="298.49"/>
    <x v="70"/>
    <n v="14367.040000000006"/>
  </r>
  <r>
    <x v="74"/>
    <x v="2"/>
    <s v="India"/>
    <x v="0"/>
    <s v="Offline"/>
    <s v="Medium"/>
    <d v="2023-03-16T00:00:00"/>
    <n v="258"/>
    <n v="291.81"/>
    <n v="93.1"/>
    <x v="2"/>
    <x v="0"/>
    <n v="258"/>
    <n v="291.81"/>
    <x v="71"/>
    <n v="51267.18"/>
  </r>
  <r>
    <x v="75"/>
    <x v="4"/>
    <s v="India"/>
    <x v="0"/>
    <s v="Offline"/>
    <s v="Low"/>
    <d v="2023-03-17T00:00:00"/>
    <n v="40"/>
    <n v="333"/>
    <n v="94.59"/>
    <x v="3"/>
    <x v="0"/>
    <n v="40"/>
    <n v="333"/>
    <x v="72"/>
    <n v="9536.4"/>
  </r>
  <r>
    <x v="76"/>
    <x v="1"/>
    <s v="Germany"/>
    <x v="2"/>
    <s v="Offline"/>
    <s v="Medium"/>
    <d v="2023-03-18T00:00:00"/>
    <n v="32"/>
    <n v="52.15"/>
    <n v="89.88"/>
    <x v="1"/>
    <x v="2"/>
    <n v="32"/>
    <n v="52.15"/>
    <x v="73"/>
    <n v="0"/>
  </r>
  <r>
    <x v="77"/>
    <x v="1"/>
    <s v="Germany"/>
    <x v="0"/>
    <s v="Offline"/>
    <s v="High"/>
    <d v="2023-03-19T00:00:00"/>
    <n v="435"/>
    <n v="327.8"/>
    <n v="71.150000000000006"/>
    <x v="1"/>
    <x v="0"/>
    <n v="435"/>
    <n v="327.8"/>
    <x v="74"/>
    <n v="111642.74999999999"/>
  </r>
  <r>
    <x v="78"/>
    <x v="0"/>
    <s v="Australia"/>
    <x v="3"/>
    <s v="Offline"/>
    <s v="High"/>
    <d v="2023-03-20T00:00:00"/>
    <n v="403"/>
    <n v="159.51"/>
    <n v="262.98"/>
    <x v="0"/>
    <x v="3"/>
    <n v="403"/>
    <n v="159.51"/>
    <x v="75"/>
    <n v="0"/>
  </r>
  <r>
    <x v="79"/>
    <x v="1"/>
    <s v="Australia"/>
    <x v="2"/>
    <s v="Online"/>
    <s v="High"/>
    <d v="2023-03-21T00:00:00"/>
    <n v="169"/>
    <m/>
    <n v="339.51"/>
    <x v="1"/>
    <x v="2"/>
    <n v="169"/>
    <n v="245.33323076923077"/>
    <x v="27"/>
    <n v="0"/>
  </r>
  <r>
    <x v="80"/>
    <x v="0"/>
    <s v="UK"/>
    <x v="0"/>
    <s v="Online"/>
    <s v="Low"/>
    <d v="2023-03-22T00:00:00"/>
    <n v="372"/>
    <n v="429.7"/>
    <n v="290.27999999999997"/>
    <x v="0"/>
    <x v="0"/>
    <n v="372"/>
    <n v="429.7"/>
    <x v="76"/>
    <n v="51864.240000000005"/>
  </r>
  <r>
    <x v="81"/>
    <x v="1"/>
    <s v="Germany"/>
    <x v="4"/>
    <s v="Offline"/>
    <s v="Medium"/>
    <d v="2023-03-23T00:00:00"/>
    <n v="446"/>
    <n v="9.4700000000000006"/>
    <n v="317.25"/>
    <x v="1"/>
    <x v="4"/>
    <n v="446"/>
    <n v="9.4700000000000006"/>
    <x v="77"/>
    <n v="0"/>
  </r>
  <r>
    <x v="82"/>
    <x v="2"/>
    <s v="India"/>
    <x v="3"/>
    <s v="Online"/>
    <s v="High"/>
    <d v="2023-03-24T00:00:00"/>
    <n v="167"/>
    <n v="296.26"/>
    <n v="163.11000000000001"/>
    <x v="2"/>
    <x v="3"/>
    <n v="167"/>
    <n v="296.26"/>
    <x v="78"/>
    <n v="22236.049999999996"/>
  </r>
  <r>
    <x v="83"/>
    <x v="1"/>
    <s v="Australia"/>
    <x v="3"/>
    <s v="Offline"/>
    <s v="High"/>
    <d v="2023-03-25T00:00:00"/>
    <n v="48"/>
    <n v="301.36"/>
    <n v="262.32"/>
    <x v="1"/>
    <x v="3"/>
    <n v="48"/>
    <n v="301.36"/>
    <x v="79"/>
    <n v="1873.920000000001"/>
  </r>
  <r>
    <x v="84"/>
    <x v="0"/>
    <s v="Australia"/>
    <x v="3"/>
    <s v="Offline"/>
    <s v="Medium"/>
    <d v="2023-03-26T00:00:00"/>
    <n v="424"/>
    <n v="201.35"/>
    <n v="142.99"/>
    <x v="0"/>
    <x v="3"/>
    <n v="424"/>
    <n v="201.35"/>
    <x v="80"/>
    <n v="24744.639999999992"/>
  </r>
  <r>
    <x v="85"/>
    <x v="0"/>
    <s v="India"/>
    <x v="2"/>
    <s v="Online"/>
    <s v="High"/>
    <d v="2023-03-27T00:00:00"/>
    <n v="91"/>
    <n v="122.33"/>
    <n v="211.15"/>
    <x v="0"/>
    <x v="2"/>
    <n v="91"/>
    <n v="122.33"/>
    <x v="81"/>
    <n v="0"/>
  </r>
  <r>
    <x v="86"/>
    <x v="4"/>
    <s v="Australia"/>
    <x v="0"/>
    <s v="Online"/>
    <s v="Medium"/>
    <d v="2023-03-28T00:00:00"/>
    <n v="365"/>
    <n v="121.16"/>
    <n v="193.69"/>
    <x v="3"/>
    <x v="0"/>
    <n v="365"/>
    <n v="121.16"/>
    <x v="82"/>
    <n v="0"/>
  </r>
  <r>
    <x v="87"/>
    <x v="2"/>
    <s v="UK"/>
    <x v="0"/>
    <s v="Online"/>
    <s v="Medium"/>
    <d v="2023-03-29T00:00:00"/>
    <n v="267"/>
    <n v="442.44"/>
    <n v="72.400000000000006"/>
    <x v="2"/>
    <x v="0"/>
    <n v="267"/>
    <n v="442.44"/>
    <x v="83"/>
    <n v="98800.68"/>
  </r>
  <r>
    <x v="88"/>
    <x v="1"/>
    <s v="Germany"/>
    <x v="4"/>
    <s v="Offline"/>
    <s v="Medium"/>
    <d v="2023-03-30T00:00:00"/>
    <n v="215"/>
    <n v="223.8"/>
    <n v="156.06"/>
    <x v="1"/>
    <x v="4"/>
    <n v="215"/>
    <n v="223.8"/>
    <x v="84"/>
    <n v="14564.100000000002"/>
  </r>
  <r>
    <x v="89"/>
    <x v="4"/>
    <s v="India"/>
    <x v="4"/>
    <s v="Online"/>
    <s v="Medium"/>
    <d v="2023-03-31T00:00:00"/>
    <n v="86"/>
    <n v="168.79"/>
    <n v="385.6"/>
    <x v="3"/>
    <x v="4"/>
    <n v="86"/>
    <n v="168.79"/>
    <x v="85"/>
    <n v="0"/>
  </r>
  <r>
    <x v="90"/>
    <x v="1"/>
    <s v="Germany"/>
    <x v="3"/>
    <s v="Offline"/>
    <s v="Medium"/>
    <d v="2023-04-01T00:00:00"/>
    <n v="486"/>
    <n v="227.14"/>
    <n v="100.93"/>
    <x v="1"/>
    <x v="3"/>
    <n v="486"/>
    <n v="227.14"/>
    <x v="86"/>
    <n v="61338.05999999999"/>
  </r>
  <r>
    <x v="91"/>
    <x v="1"/>
    <s v="Australia"/>
    <x v="4"/>
    <s v="Offline"/>
    <s v="Low"/>
    <d v="2023-04-02T00:00:00"/>
    <n v="21"/>
    <m/>
    <n v="55.25"/>
    <x v="1"/>
    <x v="4"/>
    <n v="21"/>
    <n v="249.16617647058828"/>
    <x v="27"/>
    <n v="0"/>
  </r>
  <r>
    <x v="92"/>
    <x v="4"/>
    <s v="Australia"/>
    <x v="2"/>
    <s v="Offline"/>
    <s v="High"/>
    <d v="2023-04-03T00:00:00"/>
    <n v="304"/>
    <n v="77.150000000000006"/>
    <n v="168.6"/>
    <x v="3"/>
    <x v="2"/>
    <n v="304"/>
    <n v="77.150000000000006"/>
    <x v="87"/>
    <n v="0"/>
  </r>
  <r>
    <x v="93"/>
    <x v="4"/>
    <s v="India"/>
    <x v="0"/>
    <s v="Online"/>
    <s v="Low"/>
    <d v="2023-04-04T00:00:00"/>
    <n v="459"/>
    <n v="227.47"/>
    <n v="316.55"/>
    <x v="3"/>
    <x v="0"/>
    <n v="459"/>
    <n v="227.47"/>
    <x v="88"/>
    <n v="0"/>
  </r>
  <r>
    <x v="94"/>
    <x v="4"/>
    <s v="UK"/>
    <x v="3"/>
    <s v="Online"/>
    <s v="High"/>
    <d v="2023-04-05T00:00:00"/>
    <n v="233"/>
    <n v="296"/>
    <n v="233.69"/>
    <x v="3"/>
    <x v="3"/>
    <n v="233"/>
    <n v="296"/>
    <x v="89"/>
    <n v="14518.230000000001"/>
  </r>
  <r>
    <x v="95"/>
    <x v="4"/>
    <s v="USA"/>
    <x v="4"/>
    <s v="Offline"/>
    <s v="Low"/>
    <d v="2023-04-06T00:00:00"/>
    <n v="22"/>
    <n v="474.55"/>
    <n v="273.02999999999997"/>
    <x v="3"/>
    <x v="4"/>
    <n v="22"/>
    <n v="474.55"/>
    <x v="90"/>
    <n v="4433.4400000000005"/>
  </r>
  <r>
    <x v="96"/>
    <x v="4"/>
    <s v="India"/>
    <x v="2"/>
    <s v="Online"/>
    <s v="Medium"/>
    <d v="2023-04-07T00:00:00"/>
    <n v="55"/>
    <n v="130"/>
    <n v="77.5"/>
    <x v="3"/>
    <x v="2"/>
    <n v="55"/>
    <n v="130"/>
    <x v="91"/>
    <n v="2887.5"/>
  </r>
  <r>
    <x v="97"/>
    <x v="1"/>
    <s v="USA"/>
    <x v="2"/>
    <s v="Online"/>
    <s v="High"/>
    <d v="2023-04-08T00:00:00"/>
    <n v="164"/>
    <n v="182.83"/>
    <n v="248.34"/>
    <x v="1"/>
    <x v="2"/>
    <n v="164"/>
    <n v="182.83"/>
    <x v="92"/>
    <n v="0"/>
  </r>
  <r>
    <x v="98"/>
    <x v="4"/>
    <s v="USA"/>
    <x v="4"/>
    <s v="Online"/>
    <s v="High"/>
    <d v="2023-04-09T00:00:00"/>
    <n v="122"/>
    <n v="192.78"/>
    <n v="130.75"/>
    <x v="3"/>
    <x v="4"/>
    <n v="122"/>
    <n v="192.78"/>
    <x v="93"/>
    <n v="7567.66"/>
  </r>
  <r>
    <x v="99"/>
    <x v="2"/>
    <s v="UK"/>
    <x v="0"/>
    <s v="Offline"/>
    <s v="Low"/>
    <d v="2023-04-10T00:00:00"/>
    <n v="242"/>
    <n v="304.74"/>
    <n v="334.05"/>
    <x v="2"/>
    <x v="0"/>
    <n v="242"/>
    <n v="304.74"/>
    <x v="94"/>
    <n v="0"/>
  </r>
  <r>
    <x v="100"/>
    <x v="0"/>
    <s v="USA"/>
    <x v="4"/>
    <s v="Offline"/>
    <s v="Low"/>
    <d v="2023-04-11T00:00:00"/>
    <n v="26"/>
    <n v="181.58"/>
    <n v="252.46"/>
    <x v="0"/>
    <x v="4"/>
    <n v="26"/>
    <n v="181.58"/>
    <x v="95"/>
    <n v="0"/>
  </r>
  <r>
    <x v="101"/>
    <x v="4"/>
    <s v="USA"/>
    <x v="3"/>
    <s v="Online"/>
    <s v="High"/>
    <d v="2023-04-12T00:00:00"/>
    <n v="369"/>
    <n v="269.08999999999997"/>
    <n v="81.14"/>
    <x v="3"/>
    <x v="3"/>
    <n v="369"/>
    <n v="269.08999999999997"/>
    <x v="96"/>
    <n v="69353.55"/>
  </r>
  <r>
    <x v="102"/>
    <x v="4"/>
    <s v="UK"/>
    <x v="4"/>
    <s v="Offline"/>
    <s v="Low"/>
    <d v="2023-04-13T00:00:00"/>
    <n v="232"/>
    <n v="391.99"/>
    <n v="27.72"/>
    <x v="3"/>
    <x v="4"/>
    <n v="232"/>
    <n v="391.99"/>
    <x v="97"/>
    <n v="84510.64"/>
  </r>
  <r>
    <x v="103"/>
    <x v="1"/>
    <s v="USA"/>
    <x v="2"/>
    <s v="Online"/>
    <s v="Low"/>
    <d v="2023-04-14T00:00:00"/>
    <n v="363"/>
    <n v="354.17"/>
    <n v="18.97"/>
    <x v="1"/>
    <x v="2"/>
    <n v="363"/>
    <n v="354.17"/>
    <x v="98"/>
    <n v="121677.60000000002"/>
  </r>
  <r>
    <x v="104"/>
    <x v="4"/>
    <s v="USA"/>
    <x v="4"/>
    <s v="Online"/>
    <s v="Low"/>
    <d v="2023-04-15T00:00:00"/>
    <n v="197"/>
    <n v="225.95"/>
    <n v="149.82"/>
    <x v="3"/>
    <x v="4"/>
    <n v="197"/>
    <n v="225.95"/>
    <x v="99"/>
    <n v="14997.609999999999"/>
  </r>
  <r>
    <x v="105"/>
    <x v="4"/>
    <s v="USA"/>
    <x v="0"/>
    <s v="Online"/>
    <s v="Medium"/>
    <d v="2023-04-16T00:00:00"/>
    <n v="457"/>
    <n v="432.79"/>
    <n v="107.81"/>
    <x v="3"/>
    <x v="0"/>
    <n v="457"/>
    <n v="432.79"/>
    <x v="100"/>
    <n v="148515.86000000002"/>
  </r>
  <r>
    <x v="106"/>
    <x v="4"/>
    <s v="India"/>
    <x v="1"/>
    <s v="Online"/>
    <s v="Medium"/>
    <d v="2023-04-17T00:00:00"/>
    <n v="353"/>
    <n v="281.27999999999997"/>
    <n v="259.14"/>
    <x v="3"/>
    <x v="1"/>
    <n v="353"/>
    <n v="281.27999999999997"/>
    <x v="101"/>
    <n v="7815.4199999999955"/>
  </r>
  <r>
    <x v="107"/>
    <x v="1"/>
    <s v="India"/>
    <x v="4"/>
    <s v="Offline"/>
    <s v="Low"/>
    <d v="2023-04-18T00:00:00"/>
    <n v="374"/>
    <n v="272.25"/>
    <n v="200.73"/>
    <x v="1"/>
    <x v="4"/>
    <n v="374"/>
    <n v="272.25"/>
    <x v="102"/>
    <n v="26748.480000000003"/>
  </r>
  <r>
    <x v="108"/>
    <x v="4"/>
    <s v="India"/>
    <x v="0"/>
    <s v="Offline"/>
    <s v="Low"/>
    <d v="2023-04-19T00:00:00"/>
    <n v="172"/>
    <n v="21.92"/>
    <n v="107.88"/>
    <x v="3"/>
    <x v="0"/>
    <n v="172"/>
    <n v="21.92"/>
    <x v="103"/>
    <n v="0"/>
  </r>
  <r>
    <x v="109"/>
    <x v="0"/>
    <s v="UK"/>
    <x v="0"/>
    <s v="Offline"/>
    <s v="Medium"/>
    <d v="2023-04-20T00:00:00"/>
    <n v="335"/>
    <n v="493.41"/>
    <n v="61.4"/>
    <x v="0"/>
    <x v="0"/>
    <n v="335"/>
    <n v="493.41"/>
    <x v="104"/>
    <n v="144723.35"/>
  </r>
  <r>
    <x v="110"/>
    <x v="1"/>
    <s v="Australia"/>
    <x v="2"/>
    <s v="Online"/>
    <s v="Medium"/>
    <d v="2023-04-21T00:00:00"/>
    <n v="476"/>
    <n v="65.87"/>
    <n v="52.63"/>
    <x v="1"/>
    <x v="2"/>
    <n v="476"/>
    <n v="65.87"/>
    <x v="105"/>
    <n v="6302.2400000000007"/>
  </r>
  <r>
    <x v="111"/>
    <x v="0"/>
    <s v="USA"/>
    <x v="0"/>
    <s v="Online"/>
    <s v="High"/>
    <d v="2023-04-22T00:00:00"/>
    <n v="423"/>
    <n v="119.41"/>
    <n v="346.13"/>
    <x v="0"/>
    <x v="0"/>
    <n v="423"/>
    <n v="119.41"/>
    <x v="106"/>
    <n v="0"/>
  </r>
  <r>
    <x v="112"/>
    <x v="1"/>
    <s v="USA"/>
    <x v="0"/>
    <s v="Online"/>
    <s v="High"/>
    <d v="2023-04-23T00:00:00"/>
    <n v="464"/>
    <n v="30.59"/>
    <n v="98.9"/>
    <x v="1"/>
    <x v="0"/>
    <n v="464"/>
    <n v="30.59"/>
    <x v="107"/>
    <n v="0"/>
  </r>
  <r>
    <x v="113"/>
    <x v="4"/>
    <s v="UK"/>
    <x v="0"/>
    <s v="Offline"/>
    <s v="Medium"/>
    <d v="2023-04-24T00:00:00"/>
    <n v="83"/>
    <n v="321.8"/>
    <n v="261.38"/>
    <x v="3"/>
    <x v="0"/>
    <n v="83"/>
    <n v="321.8"/>
    <x v="108"/>
    <n v="5014.8600000000015"/>
  </r>
  <r>
    <x v="114"/>
    <x v="0"/>
    <s v="USA"/>
    <x v="0"/>
    <s v="Online"/>
    <s v="Low"/>
    <d v="2023-04-25T00:00:00"/>
    <n v="242"/>
    <n v="116.23"/>
    <n v="324.64999999999998"/>
    <x v="0"/>
    <x v="0"/>
    <n v="242"/>
    <n v="116.23"/>
    <x v="109"/>
    <n v="0"/>
  </r>
  <r>
    <x v="115"/>
    <x v="1"/>
    <s v="India"/>
    <x v="3"/>
    <s v="Offline"/>
    <s v="Low"/>
    <d v="2023-04-26T00:00:00"/>
    <n v="233"/>
    <n v="94.11"/>
    <n v="246.4"/>
    <x v="1"/>
    <x v="3"/>
    <n v="233"/>
    <n v="94.11"/>
    <x v="110"/>
    <n v="0"/>
  </r>
  <r>
    <x v="116"/>
    <x v="2"/>
    <s v="Australia"/>
    <x v="3"/>
    <s v="Offline"/>
    <s v="Low"/>
    <d v="2023-04-27T00:00:00"/>
    <n v="491"/>
    <n v="48.84"/>
    <n v="344.11"/>
    <x v="2"/>
    <x v="3"/>
    <n v="491"/>
    <n v="48.84"/>
    <x v="111"/>
    <n v="0"/>
  </r>
  <r>
    <x v="117"/>
    <x v="3"/>
    <s v="Germany"/>
    <x v="2"/>
    <s v="Offline"/>
    <s v="Low"/>
    <d v="2023-04-28T00:00:00"/>
    <n v="328"/>
    <n v="56.14"/>
    <n v="158.16999999999999"/>
    <x v="0"/>
    <x v="2"/>
    <n v="328"/>
    <n v="56.14"/>
    <x v="112"/>
    <n v="0"/>
  </r>
  <r>
    <x v="118"/>
    <x v="1"/>
    <s v="USA"/>
    <x v="4"/>
    <s v="Offline"/>
    <s v="High"/>
    <d v="2023-04-29T00:00:00"/>
    <n v="421"/>
    <n v="294.41000000000003"/>
    <n v="382.58"/>
    <x v="1"/>
    <x v="4"/>
    <n v="421"/>
    <n v="294.41000000000003"/>
    <x v="113"/>
    <n v="0"/>
  </r>
  <r>
    <x v="119"/>
    <x v="2"/>
    <s v="India"/>
    <x v="0"/>
    <s v="Offline"/>
    <s v="Medium"/>
    <d v="2023-04-30T00:00:00"/>
    <n v="69"/>
    <n v="345.66"/>
    <n v="54.99"/>
    <x v="2"/>
    <x v="0"/>
    <n v="69"/>
    <n v="345.66"/>
    <x v="114"/>
    <n v="20056.23"/>
  </r>
  <r>
    <x v="120"/>
    <x v="1"/>
    <s v="Germany"/>
    <x v="4"/>
    <s v="Offline"/>
    <s v="Low"/>
    <d v="2023-05-01T00:00:00"/>
    <n v="344"/>
    <n v="201.7"/>
    <n v="42.66"/>
    <x v="1"/>
    <x v="4"/>
    <n v="344"/>
    <n v="201.7"/>
    <x v="115"/>
    <n v="54709.759999999995"/>
  </r>
  <r>
    <x v="121"/>
    <x v="3"/>
    <s v="Australia"/>
    <x v="4"/>
    <s v="Online"/>
    <s v="High"/>
    <d v="2023-05-02T00:00:00"/>
    <n v="231"/>
    <n v="242.55"/>
    <n v="264.16000000000003"/>
    <x v="3"/>
    <x v="4"/>
    <n v="231"/>
    <n v="242.55"/>
    <x v="116"/>
    <n v="0"/>
  </r>
  <r>
    <x v="122"/>
    <x v="4"/>
    <s v="Germany"/>
    <x v="2"/>
    <s v="Online"/>
    <s v="Low"/>
    <d v="2023-05-03T00:00:00"/>
    <n v="46"/>
    <n v="344.55"/>
    <n v="377.25"/>
    <x v="3"/>
    <x v="2"/>
    <n v="46"/>
    <n v="344.55"/>
    <x v="117"/>
    <n v="0"/>
  </r>
  <r>
    <x v="123"/>
    <x v="0"/>
    <s v="India"/>
    <x v="0"/>
    <s v="Offline"/>
    <s v="Medium"/>
    <d v="2023-05-04T00:00:00"/>
    <n v="486"/>
    <n v="13.6"/>
    <n v="323.94"/>
    <x v="0"/>
    <x v="0"/>
    <n v="486"/>
    <n v="13.6"/>
    <x v="118"/>
    <n v="0"/>
  </r>
  <r>
    <x v="124"/>
    <x v="2"/>
    <s v="Germany"/>
    <x v="0"/>
    <s v="Offline"/>
    <s v="High"/>
    <d v="2023-05-05T00:00:00"/>
    <n v="287"/>
    <n v="164.95"/>
    <n v="32.409999999999997"/>
    <x v="2"/>
    <x v="0"/>
    <n v="287"/>
    <n v="164.95"/>
    <x v="119"/>
    <n v="38038.979999999996"/>
  </r>
  <r>
    <x v="125"/>
    <x v="1"/>
    <s v="UK"/>
    <x v="1"/>
    <s v="Online"/>
    <s v="Medium"/>
    <d v="2023-05-06T00:00:00"/>
    <n v="205"/>
    <n v="486.68"/>
    <n v="113.19"/>
    <x v="1"/>
    <x v="1"/>
    <n v="205"/>
    <n v="486.68"/>
    <x v="120"/>
    <n v="76565.45"/>
  </r>
  <r>
    <x v="126"/>
    <x v="4"/>
    <s v="Germany"/>
    <x v="4"/>
    <s v="Offline"/>
    <s v="Medium"/>
    <d v="2023-05-07T00:00:00"/>
    <n v="413"/>
    <n v="292.16000000000003"/>
    <n v="372.27"/>
    <x v="3"/>
    <x v="4"/>
    <n v="413"/>
    <n v="292.16000000000003"/>
    <x v="121"/>
    <n v="0"/>
  </r>
  <r>
    <x v="127"/>
    <x v="2"/>
    <s v="USA"/>
    <x v="4"/>
    <s v="Offline"/>
    <s v="High"/>
    <d v="2023-05-08T00:00:00"/>
    <n v="361"/>
    <n v="130.84"/>
    <n v="102.72"/>
    <x v="2"/>
    <x v="4"/>
    <n v="361"/>
    <n v="130.84"/>
    <x v="122"/>
    <n v="10151.320000000002"/>
  </r>
  <r>
    <x v="128"/>
    <x v="1"/>
    <s v="USA"/>
    <x v="3"/>
    <s v="Online"/>
    <s v="High"/>
    <d v="2023-05-09T00:00:00"/>
    <n v="493"/>
    <n v="263.26"/>
    <n v="312.91000000000003"/>
    <x v="1"/>
    <x v="3"/>
    <n v="493"/>
    <n v="263.26"/>
    <x v="123"/>
    <n v="0"/>
  </r>
  <r>
    <x v="129"/>
    <x v="1"/>
    <s v="UK"/>
    <x v="1"/>
    <s v="Offline"/>
    <s v="High"/>
    <d v="2023-05-10T00:00:00"/>
    <n v="251"/>
    <n v="174.61"/>
    <n v="330.4"/>
    <x v="1"/>
    <x v="1"/>
    <n v="251"/>
    <n v="174.61"/>
    <x v="124"/>
    <n v="0"/>
  </r>
  <r>
    <x v="130"/>
    <x v="1"/>
    <s v="India"/>
    <x v="3"/>
    <s v="Offline"/>
    <s v="High"/>
    <d v="2023-05-11T00:00:00"/>
    <m/>
    <n v="268.45999999999998"/>
    <n v="199.19"/>
    <x v="1"/>
    <x v="3"/>
    <n v="254.52238805970148"/>
    <n v="268.45999999999998"/>
    <x v="27"/>
    <n v="0"/>
  </r>
  <r>
    <x v="131"/>
    <x v="2"/>
    <s v="USA"/>
    <x v="3"/>
    <s v="Offline"/>
    <s v="High"/>
    <d v="2023-05-12T00:00:00"/>
    <n v="228"/>
    <n v="67.239999999999995"/>
    <n v="155.77000000000001"/>
    <x v="2"/>
    <x v="3"/>
    <n v="228"/>
    <n v="67.239999999999995"/>
    <x v="125"/>
    <n v="0"/>
  </r>
  <r>
    <x v="132"/>
    <x v="2"/>
    <s v="Australia"/>
    <x v="3"/>
    <s v="Online"/>
    <s v="High"/>
    <d v="2023-05-13T00:00:00"/>
    <n v="201"/>
    <n v="70.69"/>
    <n v="181.15"/>
    <x v="2"/>
    <x v="3"/>
    <n v="201"/>
    <n v="70.69"/>
    <x v="126"/>
    <n v="0"/>
  </r>
  <r>
    <x v="133"/>
    <x v="2"/>
    <s v="USA"/>
    <x v="2"/>
    <s v="Online"/>
    <s v="High"/>
    <d v="2023-05-14T00:00:00"/>
    <n v="26"/>
    <n v="76.05"/>
    <n v="92.33"/>
    <x v="2"/>
    <x v="2"/>
    <n v="26"/>
    <n v="76.05"/>
    <x v="127"/>
    <n v="0"/>
  </r>
  <r>
    <x v="134"/>
    <x v="0"/>
    <s v="USA"/>
    <x v="2"/>
    <s v="Online"/>
    <s v="Low"/>
    <d v="2023-05-15T00:00:00"/>
    <n v="21"/>
    <n v="470.21"/>
    <n v="355.98"/>
    <x v="0"/>
    <x v="2"/>
    <n v="21"/>
    <n v="470.21"/>
    <x v="128"/>
    <n v="2398.829999999999"/>
  </r>
  <r>
    <x v="135"/>
    <x v="2"/>
    <s v="India"/>
    <x v="3"/>
    <s v="Offline"/>
    <s v="Medium"/>
    <d v="2023-05-16T00:00:00"/>
    <n v="415"/>
    <n v="367.78"/>
    <n v="181.35"/>
    <x v="2"/>
    <x v="3"/>
    <n v="415"/>
    <n v="367.78"/>
    <x v="129"/>
    <n v="77368.45"/>
  </r>
  <r>
    <x v="136"/>
    <x v="2"/>
    <s v="Germany"/>
    <x v="1"/>
    <s v="Offline"/>
    <s v="High"/>
    <d v="2023-05-17T00:00:00"/>
    <n v="410"/>
    <n v="85.38"/>
    <n v="353.22"/>
    <x v="2"/>
    <x v="1"/>
    <n v="410"/>
    <n v="85.38"/>
    <x v="130"/>
    <n v="0"/>
  </r>
  <r>
    <x v="137"/>
    <x v="2"/>
    <s v="USA"/>
    <x v="4"/>
    <s v="Online"/>
    <s v="Low"/>
    <d v="2023-05-18T00:00:00"/>
    <n v="403"/>
    <n v="98.23"/>
    <n v="44.07"/>
    <x v="2"/>
    <x v="4"/>
    <n v="403"/>
    <n v="98.23"/>
    <x v="131"/>
    <n v="21826.480000000003"/>
  </r>
  <r>
    <x v="138"/>
    <x v="0"/>
    <s v="UK"/>
    <x v="1"/>
    <s v="Offline"/>
    <s v="Low"/>
    <d v="2023-05-19T00:00:00"/>
    <n v="383"/>
    <n v="366.76"/>
    <n v="395.33"/>
    <x v="0"/>
    <x v="1"/>
    <n v="383"/>
    <n v="366.76"/>
    <x v="132"/>
    <n v="0"/>
  </r>
  <r>
    <x v="139"/>
    <x v="2"/>
    <s v="Germany"/>
    <x v="0"/>
    <s v="Offline"/>
    <s v="Low"/>
    <d v="2023-05-20T00:00:00"/>
    <n v="202"/>
    <n v="82.3"/>
    <n v="178.42"/>
    <x v="2"/>
    <x v="0"/>
    <n v="202"/>
    <n v="82.3"/>
    <x v="133"/>
    <n v="0"/>
  </r>
  <r>
    <x v="140"/>
    <x v="1"/>
    <s v="Australia"/>
    <x v="2"/>
    <s v="Offline"/>
    <s v="Medium"/>
    <d v="2023-05-21T00:00:00"/>
    <n v="31"/>
    <n v="121.11"/>
    <n v="21.04"/>
    <x v="1"/>
    <x v="2"/>
    <n v="31"/>
    <n v="121.11"/>
    <x v="134"/>
    <n v="3102.1699999999996"/>
  </r>
  <r>
    <x v="141"/>
    <x v="2"/>
    <s v="India"/>
    <x v="4"/>
    <s v="Offline"/>
    <s v="High"/>
    <d v="2023-05-22T00:00:00"/>
    <n v="483"/>
    <n v="481.86"/>
    <n v="17.13"/>
    <x v="2"/>
    <x v="4"/>
    <n v="483"/>
    <n v="481.86"/>
    <x v="135"/>
    <n v="224464.59"/>
  </r>
  <r>
    <x v="142"/>
    <x v="1"/>
    <s v="Australia"/>
    <x v="4"/>
    <s v="Offline"/>
    <s v="Low"/>
    <d v="2023-05-23T00:00:00"/>
    <n v="129"/>
    <n v="131.38"/>
    <n v="298.99"/>
    <x v="1"/>
    <x v="4"/>
    <n v="129"/>
    <n v="131.38"/>
    <x v="136"/>
    <n v="0"/>
  </r>
  <r>
    <x v="143"/>
    <x v="1"/>
    <s v="Germany"/>
    <x v="0"/>
    <s v="Online"/>
    <s v="Medium"/>
    <d v="2023-05-24T00:00:00"/>
    <n v="219"/>
    <n v="332.51"/>
    <n v="264.3"/>
    <x v="1"/>
    <x v="0"/>
    <n v="219"/>
    <n v="332.51"/>
    <x v="137"/>
    <n v="14937.989999999996"/>
  </r>
  <r>
    <x v="144"/>
    <x v="1"/>
    <s v="Germany"/>
    <x v="0"/>
    <s v="Offline"/>
    <s v="Medium"/>
    <d v="2023-05-25T00:00:00"/>
    <n v="315"/>
    <n v="489.42"/>
    <n v="321.25"/>
    <x v="1"/>
    <x v="0"/>
    <n v="315"/>
    <n v="489.42"/>
    <x v="138"/>
    <n v="52973.55"/>
  </r>
  <r>
    <x v="145"/>
    <x v="0"/>
    <s v="Germany"/>
    <x v="3"/>
    <s v="Online"/>
    <s v="Medium"/>
    <d v="2023-05-26T00:00:00"/>
    <n v="279"/>
    <n v="190.28"/>
    <n v="43.94"/>
    <x v="0"/>
    <x v="3"/>
    <n v="279"/>
    <n v="190.28"/>
    <x v="139"/>
    <n v="40828.86"/>
  </r>
  <r>
    <x v="146"/>
    <x v="0"/>
    <s v="Australia"/>
    <x v="2"/>
    <s v="Offline"/>
    <s v="Low"/>
    <d v="2023-05-27T00:00:00"/>
    <n v="201"/>
    <n v="13.67"/>
    <n v="16.16"/>
    <x v="0"/>
    <x v="2"/>
    <n v="201"/>
    <n v="13.67"/>
    <x v="140"/>
    <n v="0"/>
  </r>
  <r>
    <x v="147"/>
    <x v="0"/>
    <s v="Germany"/>
    <x v="2"/>
    <s v="Online"/>
    <s v="High"/>
    <d v="2023-05-28T00:00:00"/>
    <n v="184"/>
    <n v="125.85"/>
    <n v="204.41"/>
    <x v="0"/>
    <x v="2"/>
    <n v="184"/>
    <n v="125.85"/>
    <x v="141"/>
    <n v="0"/>
  </r>
  <r>
    <x v="148"/>
    <x v="2"/>
    <s v="Australia"/>
    <x v="1"/>
    <s v="Offline"/>
    <s v="Low"/>
    <d v="2023-05-29T00:00:00"/>
    <n v="294"/>
    <n v="416.28"/>
    <n v="156.26"/>
    <x v="2"/>
    <x v="1"/>
    <n v="294"/>
    <n v="416.28"/>
    <x v="142"/>
    <n v="76445.87999999999"/>
  </r>
  <r>
    <x v="149"/>
    <x v="1"/>
    <s v="Germany"/>
    <x v="3"/>
    <s v="Online"/>
    <s v="Low"/>
    <d v="2023-05-30T00:00:00"/>
    <n v="213"/>
    <n v="432.98"/>
    <n v="185.85"/>
    <x v="1"/>
    <x v="3"/>
    <n v="213"/>
    <n v="432.98"/>
    <x v="143"/>
    <n v="52638.69"/>
  </r>
  <r>
    <x v="150"/>
    <x v="0"/>
    <s v="UK"/>
    <x v="3"/>
    <s v="Offline"/>
    <s v="High"/>
    <d v="2023-05-31T00:00:00"/>
    <n v="173"/>
    <n v="385.42"/>
    <n v="396.65"/>
    <x v="0"/>
    <x v="3"/>
    <n v="173"/>
    <n v="385.42"/>
    <x v="144"/>
    <n v="0"/>
  </r>
  <r>
    <x v="151"/>
    <x v="0"/>
    <s v="Germany"/>
    <x v="3"/>
    <s v="Online"/>
    <s v="High"/>
    <d v="2023-06-01T00:00:00"/>
    <n v="260"/>
    <n v="60.99"/>
    <n v="388.36"/>
    <x v="0"/>
    <x v="3"/>
    <n v="260"/>
    <n v="60.99"/>
    <x v="145"/>
    <n v="0"/>
  </r>
  <r>
    <x v="152"/>
    <x v="2"/>
    <s v="Australia"/>
    <x v="3"/>
    <s v="Offline"/>
    <s v="High"/>
    <d v="2023-06-02T00:00:00"/>
    <n v="236"/>
    <n v="398.78"/>
    <n v="377.04"/>
    <x v="2"/>
    <x v="3"/>
    <n v="236"/>
    <n v="398.78"/>
    <x v="146"/>
    <n v="5130.6399999999885"/>
  </r>
  <r>
    <x v="153"/>
    <x v="0"/>
    <s v="USA"/>
    <x v="2"/>
    <s v="Online"/>
    <s v="Medium"/>
    <d v="2023-06-03T00:00:00"/>
    <n v="445"/>
    <n v="459.75"/>
    <n v="313.97000000000003"/>
    <x v="0"/>
    <x v="2"/>
    <n v="445"/>
    <n v="459.75"/>
    <x v="147"/>
    <n v="64872.099999999991"/>
  </r>
  <r>
    <x v="154"/>
    <x v="2"/>
    <s v="Germany"/>
    <x v="2"/>
    <s v="Offline"/>
    <s v="High"/>
    <d v="2023-06-04T00:00:00"/>
    <n v="390"/>
    <n v="302.3"/>
    <n v="143.22999999999999"/>
    <x v="2"/>
    <x v="2"/>
    <n v="390"/>
    <n v="302.3"/>
    <x v="148"/>
    <n v="62037.30000000001"/>
  </r>
  <r>
    <x v="155"/>
    <x v="4"/>
    <s v="USA"/>
    <x v="3"/>
    <s v="Online"/>
    <s v="Low"/>
    <d v="2023-06-05T00:00:00"/>
    <n v="469"/>
    <n v="470.73"/>
    <n v="166.03"/>
    <x v="3"/>
    <x v="3"/>
    <n v="469"/>
    <n v="470.73"/>
    <x v="149"/>
    <n v="142904.30000000002"/>
  </r>
  <r>
    <x v="156"/>
    <x v="0"/>
    <s v="UK"/>
    <x v="1"/>
    <s v="Online"/>
    <s v="High"/>
    <d v="2023-06-06T00:00:00"/>
    <n v="16"/>
    <m/>
    <n v="220.75"/>
    <x v="0"/>
    <x v="1"/>
    <n v="16"/>
    <n v="259.99928571428569"/>
    <x v="27"/>
    <n v="0"/>
  </r>
  <r>
    <x v="157"/>
    <x v="4"/>
    <s v="India"/>
    <x v="4"/>
    <s v="Offline"/>
    <s v="Low"/>
    <d v="2023-06-07T00:00:00"/>
    <n v="38"/>
    <n v="335.15"/>
    <n v="332.55"/>
    <x v="3"/>
    <x v="4"/>
    <n v="38"/>
    <n v="335.15"/>
    <x v="150"/>
    <n v="98.799999999998704"/>
  </r>
  <r>
    <x v="158"/>
    <x v="2"/>
    <s v="UK"/>
    <x v="5"/>
    <s v="Offline"/>
    <s v="Medium"/>
    <d v="2023-06-08T00:00:00"/>
    <n v="404"/>
    <n v="290.70999999999998"/>
    <n v="29.35"/>
    <x v="2"/>
    <x v="4"/>
    <n v="404"/>
    <n v="290.70999999999998"/>
    <x v="151"/>
    <n v="105589.43999999999"/>
  </r>
  <r>
    <x v="159"/>
    <x v="1"/>
    <s v="Germany"/>
    <x v="1"/>
    <s v="Online"/>
    <s v="Low"/>
    <d v="2023-06-09T00:00:00"/>
    <n v="42"/>
    <n v="177.54"/>
    <n v="170.87"/>
    <x v="1"/>
    <x v="1"/>
    <n v="42"/>
    <n v="177.54"/>
    <x v="152"/>
    <n v="280.13999999999947"/>
  </r>
  <r>
    <x v="160"/>
    <x v="0"/>
    <s v="USA"/>
    <x v="3"/>
    <s v="Offline"/>
    <s v="Low"/>
    <d v="2023-06-10T00:00:00"/>
    <n v="143"/>
    <n v="83.85"/>
    <n v="34.880000000000003"/>
    <x v="0"/>
    <x v="3"/>
    <n v="143"/>
    <n v="83.85"/>
    <x v="153"/>
    <n v="7002.7099999999991"/>
  </r>
  <r>
    <x v="161"/>
    <x v="2"/>
    <s v="USA"/>
    <x v="2"/>
    <s v="Online"/>
    <s v="High"/>
    <d v="2023-06-11T00:00:00"/>
    <n v="376"/>
    <n v="304.45"/>
    <n v="206.83"/>
    <x v="2"/>
    <x v="2"/>
    <n v="376"/>
    <n v="304.45"/>
    <x v="154"/>
    <n v="36705.119999999988"/>
  </r>
  <r>
    <x v="162"/>
    <x v="1"/>
    <s v="Australia"/>
    <x v="4"/>
    <s v="Online"/>
    <s v="High"/>
    <d v="2023-06-12T00:00:00"/>
    <n v="88"/>
    <n v="162.47"/>
    <n v="359.76"/>
    <x v="1"/>
    <x v="4"/>
    <n v="88"/>
    <n v="162.47"/>
    <x v="155"/>
    <n v="0"/>
  </r>
  <r>
    <x v="163"/>
    <x v="1"/>
    <s v="USA"/>
    <x v="0"/>
    <s v="Online"/>
    <s v="Low"/>
    <d v="2023-06-13T00:00:00"/>
    <n v="425"/>
    <n v="433.89"/>
    <n v="313.43"/>
    <x v="1"/>
    <x v="0"/>
    <n v="425"/>
    <n v="433.89"/>
    <x v="156"/>
    <n v="51195.499999999993"/>
  </r>
  <r>
    <x v="164"/>
    <x v="4"/>
    <s v="Australia"/>
    <x v="0"/>
    <s v="Offline"/>
    <s v="High"/>
    <d v="2023-06-14T00:00:00"/>
    <n v="444"/>
    <n v="496.7"/>
    <n v="92.68"/>
    <x v="3"/>
    <x v="0"/>
    <n v="444"/>
    <n v="496.7"/>
    <x v="157"/>
    <n v="179384.88"/>
  </r>
  <r>
    <x v="165"/>
    <x v="2"/>
    <s v="India"/>
    <x v="1"/>
    <s v="Online"/>
    <s v="Medium"/>
    <d v="2023-06-15T00:00:00"/>
    <n v="468"/>
    <n v="377.45"/>
    <n v="390.44"/>
    <x v="2"/>
    <x v="1"/>
    <n v="468"/>
    <n v="377.45"/>
    <x v="158"/>
    <n v="0"/>
  </r>
  <r>
    <x v="166"/>
    <x v="1"/>
    <s v="Germany"/>
    <x v="3"/>
    <s v="Online"/>
    <s v="Medium"/>
    <d v="2023-06-16T00:00:00"/>
    <n v="67"/>
    <n v="49.79"/>
    <n v="267.61"/>
    <x v="1"/>
    <x v="3"/>
    <n v="67"/>
    <n v="49.79"/>
    <x v="159"/>
    <n v="0"/>
  </r>
  <r>
    <x v="167"/>
    <x v="0"/>
    <s v="Australia"/>
    <x v="4"/>
    <s v="Offline"/>
    <s v="High"/>
    <d v="2023-06-17T00:00:00"/>
    <n v="480"/>
    <n v="147.9"/>
    <n v="6.15"/>
    <x v="0"/>
    <x v="4"/>
    <n v="480"/>
    <n v="147.9"/>
    <x v="160"/>
    <n v="68040"/>
  </r>
  <r>
    <x v="168"/>
    <x v="0"/>
    <s v="India"/>
    <x v="3"/>
    <s v="Offline"/>
    <s v="Medium"/>
    <d v="2023-06-18T00:00:00"/>
    <n v="35"/>
    <n v="59.01"/>
    <n v="103.65"/>
    <x v="0"/>
    <x v="3"/>
    <n v="35"/>
    <n v="59.01"/>
    <x v="161"/>
    <n v="0"/>
  </r>
  <r>
    <x v="169"/>
    <x v="4"/>
    <s v="USA"/>
    <x v="4"/>
    <s v="Offline"/>
    <s v="High"/>
    <d v="2023-06-19T00:00:00"/>
    <n v="491"/>
    <n v="327"/>
    <n v="105.76"/>
    <x v="3"/>
    <x v="4"/>
    <n v="491"/>
    <n v="327"/>
    <x v="162"/>
    <n v="108628.84000000001"/>
  </r>
  <r>
    <x v="170"/>
    <x v="1"/>
    <s v="USA"/>
    <x v="1"/>
    <s v="Offline"/>
    <s v="Low"/>
    <d v="2023-06-20T00:00:00"/>
    <n v="439"/>
    <n v="383.77"/>
    <n v="29.56"/>
    <x v="1"/>
    <x v="1"/>
    <n v="439"/>
    <n v="383.77"/>
    <x v="163"/>
    <n v="155498.19"/>
  </r>
  <r>
    <x v="171"/>
    <x v="2"/>
    <s v="India"/>
    <x v="1"/>
    <s v="Online"/>
    <s v="Low"/>
    <d v="2023-06-21T00:00:00"/>
    <n v="235"/>
    <n v="463.21"/>
    <n v="384.01"/>
    <x v="2"/>
    <x v="1"/>
    <n v="235"/>
    <n v="463.21"/>
    <x v="164"/>
    <n v="18611.999999999996"/>
  </r>
  <r>
    <x v="172"/>
    <x v="0"/>
    <s v="USA"/>
    <x v="0"/>
    <s v="Online"/>
    <s v="Medium"/>
    <d v="2023-06-22T00:00:00"/>
    <n v="294"/>
    <n v="221.9"/>
    <n v="192.35"/>
    <x v="0"/>
    <x v="0"/>
    <n v="294"/>
    <n v="221.9"/>
    <x v="165"/>
    <n v="8687.7000000000025"/>
  </r>
  <r>
    <x v="173"/>
    <x v="1"/>
    <s v="India"/>
    <x v="3"/>
    <s v="Online"/>
    <s v="High"/>
    <d v="2023-06-23T00:00:00"/>
    <n v="13"/>
    <n v="451.18"/>
    <n v="358.53"/>
    <x v="1"/>
    <x v="3"/>
    <n v="13"/>
    <n v="451.18"/>
    <x v="166"/>
    <n v="1204.4500000000005"/>
  </r>
  <r>
    <x v="174"/>
    <x v="1"/>
    <s v="Australia"/>
    <x v="0"/>
    <s v="Online"/>
    <s v="High"/>
    <d v="2023-06-24T00:00:00"/>
    <n v="474"/>
    <n v="439.56"/>
    <n v="130.24"/>
    <x v="1"/>
    <x v="0"/>
    <n v="474"/>
    <n v="439.56"/>
    <x v="167"/>
    <n v="146617.68"/>
  </r>
  <r>
    <x v="175"/>
    <x v="4"/>
    <s v="Australia"/>
    <x v="3"/>
    <s v="Offline"/>
    <s v="Medium"/>
    <d v="2023-06-25T00:00:00"/>
    <n v="108"/>
    <n v="162.01"/>
    <n v="51.84"/>
    <x v="3"/>
    <x v="3"/>
    <n v="108"/>
    <n v="162.01"/>
    <x v="168"/>
    <n v="11898.359999999999"/>
  </r>
  <r>
    <x v="176"/>
    <x v="0"/>
    <s v="India"/>
    <x v="0"/>
    <s v="Online"/>
    <s v="Low"/>
    <d v="2023-06-26T00:00:00"/>
    <n v="406"/>
    <n v="435.11"/>
    <n v="190.79"/>
    <x v="0"/>
    <x v="0"/>
    <n v="406"/>
    <n v="435.11"/>
    <x v="169"/>
    <n v="99193.920000000013"/>
  </r>
  <r>
    <x v="177"/>
    <x v="0"/>
    <s v="Australia"/>
    <x v="2"/>
    <s v="Online"/>
    <s v="Medium"/>
    <d v="2023-06-27T00:00:00"/>
    <n v="498"/>
    <n v="190.96"/>
    <n v="47.35"/>
    <x v="0"/>
    <x v="2"/>
    <n v="498"/>
    <n v="190.96"/>
    <x v="170"/>
    <n v="71517.780000000013"/>
  </r>
  <r>
    <x v="178"/>
    <x v="2"/>
    <s v="Australia"/>
    <x v="2"/>
    <s v="Offline"/>
    <s v="Low"/>
    <d v="2023-06-28T00:00:00"/>
    <n v="48"/>
    <n v="151.94999999999999"/>
    <n v="195.43"/>
    <x v="2"/>
    <x v="2"/>
    <n v="48"/>
    <n v="151.94999999999999"/>
    <x v="171"/>
    <n v="0"/>
  </r>
  <r>
    <x v="179"/>
    <x v="0"/>
    <s v="Australia"/>
    <x v="2"/>
    <s v="Online"/>
    <s v="High"/>
    <d v="2023-06-29T00:00:00"/>
    <n v="280"/>
    <n v="326.29000000000002"/>
    <n v="368.28"/>
    <x v="0"/>
    <x v="2"/>
    <n v="280"/>
    <n v="326.29000000000002"/>
    <x v="172"/>
    <n v="0"/>
  </r>
  <r>
    <x v="180"/>
    <x v="2"/>
    <s v="UK"/>
    <x v="2"/>
    <s v="Online"/>
    <s v="Low"/>
    <d v="2023-06-30T00:00:00"/>
    <n v="384"/>
    <n v="167.55"/>
    <n v="209.27"/>
    <x v="2"/>
    <x v="2"/>
    <n v="384"/>
    <n v="167.55"/>
    <x v="173"/>
    <n v="0"/>
  </r>
  <r>
    <x v="181"/>
    <x v="0"/>
    <s v="Germany"/>
    <x v="4"/>
    <s v="Online"/>
    <s v="Medium"/>
    <d v="2023-07-01T00:00:00"/>
    <n v="294"/>
    <n v="316.95"/>
    <n v="247.37"/>
    <x v="0"/>
    <x v="4"/>
    <n v="294"/>
    <n v="316.95"/>
    <x v="174"/>
    <n v="20456.519999999997"/>
  </r>
  <r>
    <x v="182"/>
    <x v="4"/>
    <s v="USA"/>
    <x v="2"/>
    <s v="Online"/>
    <s v="High"/>
    <d v="2023-07-02T00:00:00"/>
    <n v="166"/>
    <n v="306.87"/>
    <n v="64.34"/>
    <x v="3"/>
    <x v="2"/>
    <n v="166"/>
    <n v="306.87"/>
    <x v="175"/>
    <n v="40259.980000000003"/>
  </r>
  <r>
    <x v="183"/>
    <x v="0"/>
    <s v="UK"/>
    <x v="1"/>
    <s v="Online"/>
    <s v="Medium"/>
    <d v="2023-07-03T00:00:00"/>
    <n v="84"/>
    <n v="283.89999999999998"/>
    <n v="19.41"/>
    <x v="0"/>
    <x v="1"/>
    <n v="84"/>
    <n v="283.89999999999998"/>
    <x v="176"/>
    <n v="22217.159999999996"/>
  </r>
  <r>
    <x v="184"/>
    <x v="2"/>
    <s v="Australia"/>
    <x v="1"/>
    <s v="Online"/>
    <s v="Medium"/>
    <d v="2023-07-04T00:00:00"/>
    <n v="381"/>
    <n v="193.31"/>
    <n v="46.1"/>
    <x v="2"/>
    <x v="1"/>
    <n v="381"/>
    <n v="193.31"/>
    <x v="177"/>
    <n v="56087.01"/>
  </r>
  <r>
    <x v="185"/>
    <x v="2"/>
    <s v="India"/>
    <x v="4"/>
    <s v="Offline"/>
    <s v="Low"/>
    <d v="2023-07-05T00:00:00"/>
    <n v="297"/>
    <n v="276.51"/>
    <n v="240.22"/>
    <x v="2"/>
    <x v="4"/>
    <n v="297"/>
    <n v="276.51"/>
    <x v="178"/>
    <n v="10778.129999999997"/>
  </r>
  <r>
    <x v="186"/>
    <x v="4"/>
    <s v="Australia"/>
    <x v="2"/>
    <s v="Offline"/>
    <s v="Medium"/>
    <d v="2023-07-06T00:00:00"/>
    <n v="139"/>
    <n v="300.26"/>
    <n v="39.81"/>
    <x v="3"/>
    <x v="2"/>
    <n v="139"/>
    <n v="300.26"/>
    <x v="179"/>
    <n v="36202.549999999996"/>
  </r>
  <r>
    <x v="187"/>
    <x v="0"/>
    <s v="Germany"/>
    <x v="2"/>
    <s v="Online"/>
    <s v="Low"/>
    <d v="2023-07-07T00:00:00"/>
    <n v="184"/>
    <n v="275.12"/>
    <n v="151.65"/>
    <x v="0"/>
    <x v="2"/>
    <n v="184"/>
    <n v="275.12"/>
    <x v="180"/>
    <n v="22718.48"/>
  </r>
  <r>
    <x v="188"/>
    <x v="0"/>
    <s v="Australia"/>
    <x v="2"/>
    <s v="Online"/>
    <s v="High"/>
    <d v="2023-07-08T00:00:00"/>
    <n v="471"/>
    <n v="224.99"/>
    <n v="220.94"/>
    <x v="0"/>
    <x v="2"/>
    <n v="471"/>
    <n v="224.99"/>
    <x v="181"/>
    <n v="1907.5500000000054"/>
  </r>
  <r>
    <x v="189"/>
    <x v="4"/>
    <s v="India"/>
    <x v="0"/>
    <s v="Offline"/>
    <s v="Low"/>
    <d v="2023-07-09T00:00:00"/>
    <n v="93"/>
    <n v="12.26"/>
    <n v="156.68"/>
    <x v="3"/>
    <x v="0"/>
    <n v="93"/>
    <n v="12.26"/>
    <x v="182"/>
    <n v="0"/>
  </r>
  <r>
    <x v="190"/>
    <x v="0"/>
    <s v="Germany"/>
    <x v="3"/>
    <s v="Online"/>
    <s v="High"/>
    <d v="2023-07-10T00:00:00"/>
    <n v="31"/>
    <n v="295.60000000000002"/>
    <n v="67.150000000000006"/>
    <x v="0"/>
    <x v="3"/>
    <n v="31"/>
    <n v="295.60000000000002"/>
    <x v="183"/>
    <n v="7081.9500000000007"/>
  </r>
  <r>
    <x v="191"/>
    <x v="0"/>
    <s v="Australia"/>
    <x v="0"/>
    <s v="Online"/>
    <s v="Low"/>
    <d v="2023-07-11T00:00:00"/>
    <n v="468"/>
    <n v="88.38"/>
    <n v="110.97"/>
    <x v="0"/>
    <x v="0"/>
    <n v="468"/>
    <n v="88.38"/>
    <x v="184"/>
    <n v="0"/>
  </r>
  <r>
    <x v="192"/>
    <x v="2"/>
    <s v="Germany"/>
    <x v="3"/>
    <s v="Online"/>
    <s v="Medium"/>
    <d v="2023-07-12T00:00:00"/>
    <n v="36"/>
    <n v="323.08"/>
    <n v="371.47"/>
    <x v="2"/>
    <x v="3"/>
    <n v="36"/>
    <n v="323.08"/>
    <x v="185"/>
    <n v="0"/>
  </r>
  <r>
    <x v="193"/>
    <x v="0"/>
    <s v="USA"/>
    <x v="2"/>
    <s v="Offline"/>
    <s v="Low"/>
    <d v="2023-07-13T00:00:00"/>
    <n v="204"/>
    <n v="380.88"/>
    <n v="271.04000000000002"/>
    <x v="0"/>
    <x v="2"/>
    <n v="204"/>
    <n v="380.88"/>
    <x v="186"/>
    <n v="22407.359999999993"/>
  </r>
  <r>
    <x v="194"/>
    <x v="0"/>
    <s v="USA"/>
    <x v="2"/>
    <s v="Online"/>
    <s v="Low"/>
    <d v="2023-07-14T00:00:00"/>
    <n v="346"/>
    <n v="252.72"/>
    <n v="199.43"/>
    <x v="0"/>
    <x v="2"/>
    <n v="346"/>
    <n v="252.72"/>
    <x v="187"/>
    <n v="18438.339999999997"/>
  </r>
  <r>
    <x v="195"/>
    <x v="4"/>
    <s v="Australia"/>
    <x v="0"/>
    <s v="Offline"/>
    <s v="High"/>
    <d v="2023-07-15T00:00:00"/>
    <n v="391"/>
    <n v="273.47000000000003"/>
    <n v="7.06"/>
    <x v="3"/>
    <x v="0"/>
    <n v="391"/>
    <n v="273.47000000000003"/>
    <x v="188"/>
    <n v="104166.31000000001"/>
  </r>
  <r>
    <x v="196"/>
    <x v="4"/>
    <s v="Germany"/>
    <x v="0"/>
    <s v="Online"/>
    <s v="Medium"/>
    <d v="2023-07-16T00:00:00"/>
    <n v="245"/>
    <n v="475.98"/>
    <n v="396.98"/>
    <x v="3"/>
    <x v="0"/>
    <n v="245"/>
    <n v="475.98"/>
    <x v="189"/>
    <n v="19355"/>
  </r>
  <r>
    <x v="197"/>
    <x v="1"/>
    <s v="India"/>
    <x v="3"/>
    <s v="Offline"/>
    <s v="Low"/>
    <d v="2023-07-17T00:00:00"/>
    <n v="449"/>
    <n v="424.35"/>
    <n v="269.24"/>
    <x v="1"/>
    <x v="3"/>
    <n v="449"/>
    <n v="424.35"/>
    <x v="190"/>
    <n v="69644.39"/>
  </r>
  <r>
    <x v="198"/>
    <x v="2"/>
    <s v="Australia"/>
    <x v="1"/>
    <s v="Offline"/>
    <s v="Medium"/>
    <d v="2023-07-18T00:00:00"/>
    <n v="101"/>
    <n v="457.55"/>
    <n v="128.13999999999999"/>
    <x v="2"/>
    <x v="1"/>
    <n v="101"/>
    <n v="457.55"/>
    <x v="191"/>
    <n v="33270.410000000003"/>
  </r>
  <r>
    <x v="199"/>
    <x v="0"/>
    <s v="USA"/>
    <x v="3"/>
    <s v="Online"/>
    <s v="Low"/>
    <d v="2023-07-19T00:00:00"/>
    <m/>
    <n v="407.81"/>
    <n v="351.95"/>
    <x v="0"/>
    <x v="3"/>
    <n v="254.52238805970148"/>
    <n v="407.81"/>
    <x v="27"/>
    <n v="0"/>
  </r>
  <r>
    <x v="200"/>
    <x v="0"/>
    <s v="USA"/>
    <x v="0"/>
    <s v="Offline"/>
    <s v="Low"/>
    <d v="2023-07-20T00:00:00"/>
    <n v="30"/>
    <n v="58.91"/>
    <n v="104.86"/>
    <x v="0"/>
    <x v="0"/>
    <n v="30"/>
    <n v="58.91"/>
    <x v="192"/>
    <n v="0"/>
  </r>
  <r>
    <x v="201"/>
    <x v="1"/>
    <s v="Australia"/>
    <x v="0"/>
    <s v="Online"/>
    <s v="Medium"/>
    <d v="2023-07-21T00:00:00"/>
    <n v="312"/>
    <n v="78.75"/>
    <n v="218.52"/>
    <x v="1"/>
    <x v="0"/>
    <n v="312"/>
    <n v="78.75"/>
    <x v="193"/>
    <n v="0"/>
  </r>
  <r>
    <x v="202"/>
    <x v="0"/>
    <s v="Germany"/>
    <x v="4"/>
    <s v="Offline"/>
    <s v="Low"/>
    <d v="2023-07-22T00:00:00"/>
    <n v="473"/>
    <n v="265.68"/>
    <n v="255.16"/>
    <x v="0"/>
    <x v="4"/>
    <n v="473"/>
    <n v="265.68"/>
    <x v="194"/>
    <n v="4975.9600000000046"/>
  </r>
  <r>
    <x v="203"/>
    <x v="2"/>
    <s v="USA"/>
    <x v="0"/>
    <s v="Online"/>
    <s v="Medium"/>
    <d v="2023-07-23T00:00:00"/>
    <n v="366"/>
    <n v="126.8"/>
    <n v="89.98"/>
    <x v="2"/>
    <x v="0"/>
    <n v="366"/>
    <n v="126.8"/>
    <x v="195"/>
    <n v="13476.119999999997"/>
  </r>
  <r>
    <x v="204"/>
    <x v="1"/>
    <s v="Germany"/>
    <x v="4"/>
    <s v="Online"/>
    <s v="Low"/>
    <d v="2023-07-24T00:00:00"/>
    <n v="452"/>
    <n v="240.96"/>
    <n v="391.4"/>
    <x v="1"/>
    <x v="4"/>
    <n v="452"/>
    <n v="240.96"/>
    <x v="196"/>
    <n v="0"/>
  </r>
  <r>
    <x v="205"/>
    <x v="2"/>
    <s v="USA"/>
    <x v="1"/>
    <s v="Offline"/>
    <s v="High"/>
    <d v="2023-07-25T00:00:00"/>
    <n v="93"/>
    <n v="200.21"/>
    <n v="299.77999999999997"/>
    <x v="2"/>
    <x v="1"/>
    <n v="93"/>
    <n v="200.21"/>
    <x v="197"/>
    <n v="0"/>
  </r>
  <r>
    <x v="206"/>
    <x v="1"/>
    <s v="USA"/>
    <x v="3"/>
    <s v="Online"/>
    <s v="Medium"/>
    <d v="2023-07-26T00:00:00"/>
    <n v="271"/>
    <n v="276.95999999999998"/>
    <n v="224.01"/>
    <x v="1"/>
    <x v="3"/>
    <n v="271"/>
    <n v="276.95999999999998"/>
    <x v="198"/>
    <n v="14349.449999999997"/>
  </r>
  <r>
    <x v="207"/>
    <x v="1"/>
    <s v="UK"/>
    <x v="3"/>
    <s v="Online"/>
    <s v="Low"/>
    <d v="2023-07-27T00:00:00"/>
    <n v="156"/>
    <n v="374.7"/>
    <n v="73.88"/>
    <x v="1"/>
    <x v="3"/>
    <n v="156"/>
    <n v="374.7"/>
    <x v="199"/>
    <n v="46927.92"/>
  </r>
  <r>
    <x v="208"/>
    <x v="4"/>
    <s v="USA"/>
    <x v="4"/>
    <s v="Offline"/>
    <s v="Low"/>
    <d v="2023-07-28T00:00:00"/>
    <n v="450"/>
    <n v="359.17"/>
    <n v="23.44"/>
    <x v="3"/>
    <x v="4"/>
    <n v="450"/>
    <n v="359.17"/>
    <x v="200"/>
    <n v="151078.5"/>
  </r>
  <r>
    <x v="209"/>
    <x v="2"/>
    <s v="India"/>
    <x v="3"/>
    <s v="Online"/>
    <s v="High"/>
    <d v="2023-07-29T00:00:00"/>
    <n v="462"/>
    <n v="263.01"/>
    <n v="129.38"/>
    <x v="2"/>
    <x v="3"/>
    <n v="462"/>
    <n v="263.01"/>
    <x v="201"/>
    <n v="61737.06"/>
  </r>
  <r>
    <x v="210"/>
    <x v="0"/>
    <s v="Australia"/>
    <x v="5"/>
    <s v="Online"/>
    <s v="Medium"/>
    <d v="2023-07-30T00:00:00"/>
    <n v="396"/>
    <n v="412.08"/>
    <n v="301.77"/>
    <x v="0"/>
    <x v="3"/>
    <n v="396"/>
    <n v="412.08"/>
    <x v="202"/>
    <n v="43682.76"/>
  </r>
  <r>
    <x v="211"/>
    <x v="0"/>
    <s v="Australia"/>
    <x v="2"/>
    <s v="Offline"/>
    <s v="Low"/>
    <d v="2023-07-31T00:00:00"/>
    <n v="266"/>
    <n v="218.28"/>
    <n v="109.19"/>
    <x v="0"/>
    <x v="2"/>
    <n v="266"/>
    <n v="218.28"/>
    <x v="203"/>
    <n v="29017.940000000002"/>
  </r>
  <r>
    <x v="212"/>
    <x v="2"/>
    <s v="Germany"/>
    <x v="4"/>
    <s v="Offline"/>
    <s v="High"/>
    <d v="2023-08-01T00:00:00"/>
    <n v="67"/>
    <n v="448.87"/>
    <n v="216.74"/>
    <x v="2"/>
    <x v="4"/>
    <n v="67"/>
    <n v="448.87"/>
    <x v="204"/>
    <n v="15552.71"/>
  </r>
  <r>
    <x v="213"/>
    <x v="0"/>
    <s v="USA"/>
    <x v="3"/>
    <s v="Online"/>
    <s v="Low"/>
    <d v="2023-08-02T00:00:00"/>
    <n v="389"/>
    <n v="40.28"/>
    <n v="291.72000000000003"/>
    <x v="0"/>
    <x v="3"/>
    <n v="389"/>
    <n v="40.28"/>
    <x v="205"/>
    <n v="0"/>
  </r>
  <r>
    <x v="214"/>
    <x v="0"/>
    <s v="India"/>
    <x v="4"/>
    <s v="Online"/>
    <s v="Medium"/>
    <d v="2023-08-03T00:00:00"/>
    <n v="431"/>
    <n v="477.56"/>
    <n v="44.96"/>
    <x v="0"/>
    <x v="4"/>
    <n v="431"/>
    <n v="477.56"/>
    <x v="206"/>
    <n v="186450.6"/>
  </r>
  <r>
    <x v="215"/>
    <x v="2"/>
    <s v="Germany"/>
    <x v="4"/>
    <s v="Offline"/>
    <s v="Low"/>
    <d v="2023-08-04T00:00:00"/>
    <n v="24"/>
    <n v="329.07"/>
    <n v="274.75"/>
    <x v="2"/>
    <x v="4"/>
    <n v="24"/>
    <n v="329.07"/>
    <x v="207"/>
    <n v="1303.6799999999998"/>
  </r>
  <r>
    <x v="216"/>
    <x v="1"/>
    <s v="UK"/>
    <x v="2"/>
    <s v="Offline"/>
    <s v="Low"/>
    <d v="2023-08-05T00:00:00"/>
    <n v="171"/>
    <n v="193.14"/>
    <n v="38.56"/>
    <x v="1"/>
    <x v="2"/>
    <n v="171"/>
    <n v="193.14"/>
    <x v="208"/>
    <n v="26433.179999999997"/>
  </r>
  <r>
    <x v="217"/>
    <x v="2"/>
    <s v="Germany"/>
    <x v="0"/>
    <s v="Online"/>
    <s v="Low"/>
    <d v="2023-08-06T00:00:00"/>
    <n v="454"/>
    <n v="102.59"/>
    <n v="386.12"/>
    <x v="2"/>
    <x v="0"/>
    <n v="454"/>
    <n v="102.59"/>
    <x v="209"/>
    <n v="0"/>
  </r>
  <r>
    <x v="218"/>
    <x v="1"/>
    <s v="Germany"/>
    <x v="4"/>
    <s v="Offline"/>
    <s v="Low"/>
    <d v="2023-08-07T00:00:00"/>
    <n v="172"/>
    <n v="242.2"/>
    <n v="196.38"/>
    <x v="1"/>
    <x v="4"/>
    <n v="172"/>
    <n v="242.2"/>
    <x v="210"/>
    <n v="7881.0399999999991"/>
  </r>
  <r>
    <x v="219"/>
    <x v="0"/>
    <s v="USA"/>
    <x v="3"/>
    <s v="Online"/>
    <s v="High"/>
    <d v="2023-08-08T00:00:00"/>
    <n v="329"/>
    <n v="101.31"/>
    <n v="61.97"/>
    <x v="0"/>
    <x v="3"/>
    <n v="329"/>
    <n v="101.31"/>
    <x v="211"/>
    <n v="12942.86"/>
  </r>
  <r>
    <x v="220"/>
    <x v="0"/>
    <s v="UK"/>
    <x v="1"/>
    <s v="Online"/>
    <s v="High"/>
    <d v="2023-08-09T00:00:00"/>
    <n v="290"/>
    <n v="87.33"/>
    <n v="138.27000000000001"/>
    <x v="0"/>
    <x v="1"/>
    <n v="290"/>
    <n v="87.33"/>
    <x v="212"/>
    <n v="0"/>
  </r>
  <r>
    <x v="221"/>
    <x v="3"/>
    <s v="Germany"/>
    <x v="4"/>
    <s v="Online"/>
    <s v="Medium"/>
    <d v="2023-08-10T00:00:00"/>
    <n v="289"/>
    <n v="310.58999999999997"/>
    <n v="166.54"/>
    <x v="0"/>
    <x v="4"/>
    <n v="289"/>
    <n v="310.58999999999997"/>
    <x v="213"/>
    <n v="41630.449999999997"/>
  </r>
  <r>
    <x v="222"/>
    <x v="4"/>
    <s v="India"/>
    <x v="4"/>
    <s v="Online"/>
    <s v="High"/>
    <d v="2023-08-11T00:00:00"/>
    <n v="21"/>
    <n v="263.93"/>
    <n v="303.76"/>
    <x v="3"/>
    <x v="4"/>
    <n v="21"/>
    <n v="263.93"/>
    <x v="214"/>
    <n v="0"/>
  </r>
  <r>
    <x v="223"/>
    <x v="1"/>
    <s v="India"/>
    <x v="2"/>
    <s v="Online"/>
    <s v="High"/>
    <d v="2023-08-12T00:00:00"/>
    <n v="283"/>
    <n v="336.7"/>
    <n v="297.88"/>
    <x v="1"/>
    <x v="2"/>
    <n v="283"/>
    <n v="336.7"/>
    <x v="215"/>
    <n v="10986.059999999998"/>
  </r>
  <r>
    <x v="224"/>
    <x v="4"/>
    <s v="Australia"/>
    <x v="0"/>
    <s v="Offline"/>
    <s v="Medium"/>
    <d v="2023-08-13T00:00:00"/>
    <n v="280"/>
    <n v="465.15"/>
    <n v="245.55"/>
    <x v="3"/>
    <x v="0"/>
    <n v="280"/>
    <n v="465.15"/>
    <x v="216"/>
    <n v="61487.999999999993"/>
  </r>
  <r>
    <x v="225"/>
    <x v="4"/>
    <s v="UK"/>
    <x v="1"/>
    <s v="Offline"/>
    <s v="High"/>
    <d v="2023-08-14T00:00:00"/>
    <n v="217"/>
    <n v="268.47000000000003"/>
    <n v="44.16"/>
    <x v="3"/>
    <x v="1"/>
    <n v="217"/>
    <n v="268.47000000000003"/>
    <x v="217"/>
    <n v="48675.270000000004"/>
  </r>
  <r>
    <x v="226"/>
    <x v="2"/>
    <s v="UK"/>
    <x v="3"/>
    <s v="Offline"/>
    <s v="High"/>
    <d v="2023-08-15T00:00:00"/>
    <n v="36"/>
    <n v="292.56"/>
    <n v="62.32"/>
    <x v="2"/>
    <x v="3"/>
    <n v="36"/>
    <n v="292.56"/>
    <x v="218"/>
    <n v="8288.64"/>
  </r>
  <r>
    <x v="227"/>
    <x v="4"/>
    <s v="Australia"/>
    <x v="1"/>
    <s v="Offline"/>
    <s v="Medium"/>
    <d v="2023-08-16T00:00:00"/>
    <m/>
    <n v="49.37"/>
    <n v="39.32"/>
    <x v="3"/>
    <x v="1"/>
    <n v="266.39655172413791"/>
    <n v="49.37"/>
    <x v="27"/>
    <n v="0"/>
  </r>
  <r>
    <x v="228"/>
    <x v="2"/>
    <s v="Germany"/>
    <x v="3"/>
    <s v="Online"/>
    <s v="Medium"/>
    <d v="2023-08-17T00:00:00"/>
    <n v="69"/>
    <n v="360.23"/>
    <n v="231.71"/>
    <x v="2"/>
    <x v="3"/>
    <n v="69"/>
    <n v="360.23"/>
    <x v="219"/>
    <n v="8867.880000000001"/>
  </r>
  <r>
    <x v="229"/>
    <x v="2"/>
    <s v="UK"/>
    <x v="0"/>
    <s v="Online"/>
    <s v="Medium"/>
    <d v="2023-08-18T00:00:00"/>
    <n v="439"/>
    <n v="202.95"/>
    <n v="351.1"/>
    <x v="2"/>
    <x v="0"/>
    <n v="439"/>
    <n v="202.95"/>
    <x v="220"/>
    <n v="0"/>
  </r>
  <r>
    <x v="230"/>
    <x v="4"/>
    <s v="India"/>
    <x v="3"/>
    <s v="Online"/>
    <s v="Low"/>
    <d v="2023-08-19T00:00:00"/>
    <n v="482"/>
    <n v="488.48"/>
    <n v="174.65"/>
    <x v="3"/>
    <x v="3"/>
    <n v="482"/>
    <n v="488.48"/>
    <x v="221"/>
    <n v="151266.06000000003"/>
  </r>
  <r>
    <x v="231"/>
    <x v="1"/>
    <s v="India"/>
    <x v="2"/>
    <s v="Online"/>
    <s v="Low"/>
    <d v="2023-08-20T00:00:00"/>
    <n v="154"/>
    <n v="412.47"/>
    <n v="66.02"/>
    <x v="1"/>
    <x v="2"/>
    <n v="154"/>
    <n v="412.47"/>
    <x v="222"/>
    <n v="53353.30000000001"/>
  </r>
  <r>
    <x v="232"/>
    <x v="1"/>
    <s v="USA"/>
    <x v="2"/>
    <s v="Offline"/>
    <s v="Medium"/>
    <d v="2023-08-21T00:00:00"/>
    <n v="102"/>
    <n v="263.63"/>
    <n v="224.1"/>
    <x v="1"/>
    <x v="2"/>
    <n v="102"/>
    <n v="263.63"/>
    <x v="223"/>
    <n v="4032.06"/>
  </r>
  <r>
    <x v="233"/>
    <x v="1"/>
    <s v="UK"/>
    <x v="2"/>
    <s v="Online"/>
    <s v="Medium"/>
    <d v="2023-08-22T00:00:00"/>
    <n v="318"/>
    <n v="66"/>
    <n v="325.08"/>
    <x v="1"/>
    <x v="2"/>
    <n v="318"/>
    <n v="66"/>
    <x v="224"/>
    <n v="0"/>
  </r>
  <r>
    <x v="234"/>
    <x v="1"/>
    <s v="Germany"/>
    <x v="2"/>
    <s v="Online"/>
    <s v="Medium"/>
    <d v="2023-08-23T00:00:00"/>
    <n v="17"/>
    <n v="430.41"/>
    <n v="297.2"/>
    <x v="1"/>
    <x v="2"/>
    <n v="17"/>
    <n v="430.41"/>
    <x v="225"/>
    <n v="2264.5700000000006"/>
  </r>
  <r>
    <x v="235"/>
    <x v="1"/>
    <s v="Australia"/>
    <x v="1"/>
    <s v="Offline"/>
    <s v="Low"/>
    <d v="2023-08-24T00:00:00"/>
    <n v="88"/>
    <n v="400.89"/>
    <n v="352.82"/>
    <x v="1"/>
    <x v="1"/>
    <n v="88"/>
    <n v="400.89"/>
    <x v="226"/>
    <n v="4230.16"/>
  </r>
  <r>
    <x v="236"/>
    <x v="4"/>
    <s v="Australia"/>
    <x v="0"/>
    <s v="Offline"/>
    <s v="Low"/>
    <d v="2023-08-25T00:00:00"/>
    <n v="36"/>
    <n v="96.37"/>
    <n v="112.61"/>
    <x v="3"/>
    <x v="0"/>
    <n v="36"/>
    <n v="96.37"/>
    <x v="227"/>
    <n v="0"/>
  </r>
  <r>
    <x v="237"/>
    <x v="4"/>
    <s v="Germany"/>
    <x v="3"/>
    <s v="Offline"/>
    <s v="High"/>
    <d v="2023-08-26T00:00:00"/>
    <n v="183"/>
    <n v="151.16"/>
    <n v="79.19"/>
    <x v="3"/>
    <x v="3"/>
    <n v="183"/>
    <n v="151.16"/>
    <x v="228"/>
    <n v="13170.51"/>
  </r>
  <r>
    <x v="238"/>
    <x v="0"/>
    <s v="USA"/>
    <x v="3"/>
    <s v="Offline"/>
    <s v="High"/>
    <d v="2023-08-27T00:00:00"/>
    <n v="59"/>
    <n v="397.74"/>
    <n v="352.17"/>
    <x v="0"/>
    <x v="3"/>
    <n v="59"/>
    <n v="397.74"/>
    <x v="229"/>
    <n v="2688.6299999999997"/>
  </r>
  <r>
    <x v="239"/>
    <x v="1"/>
    <s v="Australia"/>
    <x v="2"/>
    <s v="Online"/>
    <s v="Medium"/>
    <d v="2023-08-28T00:00:00"/>
    <n v="208"/>
    <n v="96.69"/>
    <n v="263.70999999999998"/>
    <x v="1"/>
    <x v="2"/>
    <n v="208"/>
    <n v="96.69"/>
    <x v="230"/>
    <n v="0"/>
  </r>
  <r>
    <x v="240"/>
    <x v="4"/>
    <s v="UK"/>
    <x v="2"/>
    <s v="Online"/>
    <s v="Low"/>
    <d v="2023-08-29T00:00:00"/>
    <n v="396"/>
    <n v="459.29"/>
    <n v="125.75"/>
    <x v="3"/>
    <x v="2"/>
    <n v="396"/>
    <n v="459.29"/>
    <x v="231"/>
    <n v="132081.84"/>
  </r>
  <r>
    <x v="241"/>
    <x v="0"/>
    <s v="USA"/>
    <x v="4"/>
    <s v="Offline"/>
    <s v="Low"/>
    <d v="2023-08-30T00:00:00"/>
    <n v="358"/>
    <n v="215.14"/>
    <n v="297.45"/>
    <x v="0"/>
    <x v="4"/>
    <n v="358"/>
    <n v="215.14"/>
    <x v="232"/>
    <n v="0"/>
  </r>
  <r>
    <x v="242"/>
    <x v="1"/>
    <s v="UK"/>
    <x v="0"/>
    <s v="Online"/>
    <s v="Low"/>
    <d v="2023-08-31T00:00:00"/>
    <n v="457"/>
    <n v="48.08"/>
    <n v="326.42"/>
    <x v="1"/>
    <x v="0"/>
    <n v="457"/>
    <n v="48.08"/>
    <x v="233"/>
    <n v="0"/>
  </r>
  <r>
    <x v="243"/>
    <x v="2"/>
    <s v="India"/>
    <x v="1"/>
    <s v="Online"/>
    <s v="Medium"/>
    <d v="2023-09-01T00:00:00"/>
    <n v="437"/>
    <n v="408.8"/>
    <n v="246.76"/>
    <x v="2"/>
    <x v="1"/>
    <n v="437"/>
    <n v="408.8"/>
    <x v="234"/>
    <n v="70811.48000000001"/>
  </r>
  <r>
    <x v="244"/>
    <x v="0"/>
    <s v="USA"/>
    <x v="3"/>
    <s v="Online"/>
    <s v="High"/>
    <d v="2023-09-02T00:00:00"/>
    <n v="190"/>
    <n v="189.89"/>
    <n v="275.77999999999997"/>
    <x v="0"/>
    <x v="3"/>
    <n v="190"/>
    <n v="189.89"/>
    <x v="235"/>
    <n v="0"/>
  </r>
  <r>
    <x v="245"/>
    <x v="4"/>
    <s v="Australia"/>
    <x v="4"/>
    <s v="Offline"/>
    <s v="Medium"/>
    <d v="2023-09-03T00:00:00"/>
    <n v="33"/>
    <n v="265.62"/>
    <n v="151.35"/>
    <x v="3"/>
    <x v="4"/>
    <n v="33"/>
    <n v="265.62"/>
    <x v="236"/>
    <n v="3770.9100000000003"/>
  </r>
  <r>
    <x v="246"/>
    <x v="2"/>
    <s v="USA"/>
    <x v="4"/>
    <s v="Online"/>
    <s v="High"/>
    <d v="2023-09-04T00:00:00"/>
    <n v="325"/>
    <n v="60.59"/>
    <n v="216.4"/>
    <x v="2"/>
    <x v="4"/>
    <n v="325"/>
    <n v="60.59"/>
    <x v="237"/>
    <n v="0"/>
  </r>
  <r>
    <x v="247"/>
    <x v="2"/>
    <s v="USA"/>
    <x v="3"/>
    <s v="Offline"/>
    <s v="High"/>
    <d v="2023-09-05T00:00:00"/>
    <n v="387"/>
    <n v="6.28"/>
    <n v="210.62"/>
    <x v="2"/>
    <x v="3"/>
    <n v="387"/>
    <n v="6.28"/>
    <x v="238"/>
    <n v="0"/>
  </r>
  <r>
    <x v="248"/>
    <x v="2"/>
    <s v="USA"/>
    <x v="1"/>
    <s v="Online"/>
    <s v="Medium"/>
    <d v="2023-09-06T00:00:00"/>
    <n v="396"/>
    <n v="320.8"/>
    <n v="339.52"/>
    <x v="2"/>
    <x v="1"/>
    <n v="396"/>
    <n v="320.8"/>
    <x v="239"/>
    <n v="0"/>
  </r>
  <r>
    <x v="249"/>
    <x v="0"/>
    <s v="USA"/>
    <x v="4"/>
    <s v="Online"/>
    <s v="High"/>
    <d v="2023-09-07T00:00:00"/>
    <n v="413"/>
    <n v="260.01"/>
    <n v="336.31"/>
    <x v="0"/>
    <x v="4"/>
    <n v="413"/>
    <n v="260.01"/>
    <x v="240"/>
    <n v="0"/>
  </r>
  <r>
    <x v="250"/>
    <x v="4"/>
    <s v="UK"/>
    <x v="4"/>
    <s v="Online"/>
    <s v="High"/>
    <d v="2023-09-08T00:00:00"/>
    <m/>
    <n v="298.8"/>
    <n v="333.41"/>
    <x v="3"/>
    <x v="4"/>
    <n v="253.59701492537314"/>
    <n v="298.8"/>
    <x v="27"/>
    <n v="0"/>
  </r>
  <r>
    <x v="251"/>
    <x v="2"/>
    <s v="India"/>
    <x v="0"/>
    <s v="Offline"/>
    <s v="Low"/>
    <d v="2023-09-09T00:00:00"/>
    <n v="24"/>
    <n v="397.9"/>
    <n v="6.39"/>
    <x v="2"/>
    <x v="0"/>
    <n v="24"/>
    <n v="397.9"/>
    <x v="241"/>
    <n v="9396.24"/>
  </r>
  <r>
    <x v="252"/>
    <x v="1"/>
    <s v="Germany"/>
    <x v="5"/>
    <s v="Online"/>
    <s v="High"/>
    <d v="2023-09-10T00:00:00"/>
    <n v="162"/>
    <n v="325.07"/>
    <n v="300.32"/>
    <x v="1"/>
    <x v="1"/>
    <n v="162"/>
    <n v="325.07"/>
    <x v="242"/>
    <n v="4009.5"/>
  </r>
  <r>
    <x v="253"/>
    <x v="2"/>
    <s v="USA"/>
    <x v="4"/>
    <s v="Offline"/>
    <s v="Medium"/>
    <d v="2023-09-11T00:00:00"/>
    <n v="231"/>
    <n v="91.51"/>
    <n v="303.95"/>
    <x v="2"/>
    <x v="4"/>
    <n v="231"/>
    <n v="91.51"/>
    <x v="243"/>
    <n v="0"/>
  </r>
  <r>
    <x v="254"/>
    <x v="2"/>
    <s v="Australia"/>
    <x v="1"/>
    <s v="Offline"/>
    <s v="Medium"/>
    <d v="2023-09-12T00:00:00"/>
    <n v="215"/>
    <n v="183.58"/>
    <n v="271.99"/>
    <x v="2"/>
    <x v="1"/>
    <n v="215"/>
    <n v="183.58"/>
    <x v="244"/>
    <n v="0"/>
  </r>
  <r>
    <x v="255"/>
    <x v="0"/>
    <s v="USA"/>
    <x v="3"/>
    <s v="Offline"/>
    <s v="High"/>
    <d v="2023-09-13T00:00:00"/>
    <n v="464"/>
    <n v="453.42"/>
    <n v="302.99"/>
    <x v="0"/>
    <x v="3"/>
    <n v="464"/>
    <n v="453.42"/>
    <x v="245"/>
    <n v="69799.520000000004"/>
  </r>
  <r>
    <x v="256"/>
    <x v="0"/>
    <s v="Australia"/>
    <x v="2"/>
    <s v="Online"/>
    <s v="Low"/>
    <d v="2023-09-14T00:00:00"/>
    <n v="282"/>
    <m/>
    <n v="337.1"/>
    <x v="0"/>
    <x v="2"/>
    <n v="282"/>
    <n v="245.33323076923077"/>
    <x v="27"/>
    <n v="0"/>
  </r>
  <r>
    <x v="257"/>
    <x v="4"/>
    <s v="UK"/>
    <x v="4"/>
    <s v="Online"/>
    <s v="Low"/>
    <d v="2023-09-15T00:00:00"/>
    <n v="391"/>
    <n v="280.54000000000002"/>
    <n v="189.19"/>
    <x v="3"/>
    <x v="4"/>
    <n v="391"/>
    <n v="280.54000000000002"/>
    <x v="246"/>
    <n v="35717.850000000006"/>
  </r>
  <r>
    <x v="258"/>
    <x v="1"/>
    <s v="Australia"/>
    <x v="0"/>
    <s v="Online"/>
    <s v="High"/>
    <d v="2023-09-16T00:00:00"/>
    <n v="245"/>
    <n v="131.54"/>
    <n v="201.82"/>
    <x v="1"/>
    <x v="0"/>
    <n v="245"/>
    <n v="131.54"/>
    <x v="247"/>
    <n v="0"/>
  </r>
  <r>
    <x v="259"/>
    <x v="0"/>
    <s v="Germany"/>
    <x v="3"/>
    <s v="Online"/>
    <s v="High"/>
    <d v="2023-09-17T00:00:00"/>
    <n v="349"/>
    <n v="154.52000000000001"/>
    <n v="51.64"/>
    <x v="0"/>
    <x v="3"/>
    <n v="349"/>
    <n v="154.52000000000001"/>
    <x v="248"/>
    <n v="35905.120000000003"/>
  </r>
  <r>
    <x v="260"/>
    <x v="2"/>
    <s v="India"/>
    <x v="1"/>
    <s v="Offline"/>
    <s v="Medium"/>
    <d v="2023-09-18T00:00:00"/>
    <n v="237"/>
    <m/>
    <n v="155.38"/>
    <x v="2"/>
    <x v="1"/>
    <n v="237"/>
    <n v="259.99928571428569"/>
    <x v="27"/>
    <n v="0"/>
  </r>
  <r>
    <x v="261"/>
    <x v="4"/>
    <s v="Australia"/>
    <x v="3"/>
    <s v="Offline"/>
    <s v="High"/>
    <d v="2023-09-19T00:00:00"/>
    <n v="18"/>
    <n v="426.33"/>
    <n v="258.06"/>
    <x v="3"/>
    <x v="3"/>
    <n v="18"/>
    <n v="426.33"/>
    <x v="249"/>
    <n v="3028.8599999999997"/>
  </r>
  <r>
    <x v="262"/>
    <x v="2"/>
    <s v="Australia"/>
    <x v="4"/>
    <s v="Offline"/>
    <s v="Low"/>
    <d v="2023-09-20T00:00:00"/>
    <n v="175"/>
    <n v="337.36"/>
    <n v="312.60000000000002"/>
    <x v="2"/>
    <x v="4"/>
    <n v="175"/>
    <n v="337.36"/>
    <x v="250"/>
    <n v="4332.9999999999982"/>
  </r>
  <r>
    <x v="263"/>
    <x v="2"/>
    <s v="India"/>
    <x v="5"/>
    <s v="Online"/>
    <s v="High"/>
    <d v="2023-09-21T00:00:00"/>
    <n v="441"/>
    <n v="405.72"/>
    <n v="88.45"/>
    <x v="2"/>
    <x v="4"/>
    <n v="441"/>
    <n v="405.72"/>
    <x v="251"/>
    <n v="139916.07"/>
  </r>
  <r>
    <x v="264"/>
    <x v="0"/>
    <s v="Germany"/>
    <x v="2"/>
    <s v="Offline"/>
    <s v="Medium"/>
    <d v="2023-09-22T00:00:00"/>
    <n v="453"/>
    <n v="384.49"/>
    <n v="56.85"/>
    <x v="0"/>
    <x v="2"/>
    <n v="453"/>
    <n v="384.49"/>
    <x v="252"/>
    <n v="148420.91999999998"/>
  </r>
  <r>
    <x v="265"/>
    <x v="4"/>
    <s v="USA"/>
    <x v="3"/>
    <s v="Online"/>
    <s v="Medium"/>
    <d v="2023-09-23T00:00:00"/>
    <n v="328"/>
    <n v="79.099999999999994"/>
    <n v="265.89"/>
    <x v="3"/>
    <x v="3"/>
    <n v="328"/>
    <n v="79.099999999999994"/>
    <x v="253"/>
    <n v="0"/>
  </r>
  <r>
    <x v="266"/>
    <x v="1"/>
    <s v="Australia"/>
    <x v="4"/>
    <s v="Offline"/>
    <s v="Medium"/>
    <d v="2023-09-24T00:00:00"/>
    <n v="223"/>
    <n v="214.85"/>
    <n v="2.75"/>
    <x v="1"/>
    <x v="4"/>
    <n v="223"/>
    <n v="214.85"/>
    <x v="254"/>
    <n v="47298.299999999996"/>
  </r>
  <r>
    <x v="267"/>
    <x v="1"/>
    <s v="India"/>
    <x v="0"/>
    <s v="Online"/>
    <s v="Medium"/>
    <d v="2023-09-25T00:00:00"/>
    <n v="126"/>
    <n v="80.73"/>
    <n v="72.989999999999995"/>
    <x v="1"/>
    <x v="0"/>
    <n v="126"/>
    <n v="80.73"/>
    <x v="255"/>
    <n v="975.24000000000115"/>
  </r>
  <r>
    <x v="268"/>
    <x v="0"/>
    <s v="UK"/>
    <x v="1"/>
    <s v="Online"/>
    <s v="Medium"/>
    <d v="2023-09-26T00:00:00"/>
    <n v="395"/>
    <n v="121.44"/>
    <n v="13.57"/>
    <x v="0"/>
    <x v="1"/>
    <n v="395"/>
    <n v="121.44"/>
    <x v="256"/>
    <n v="42608.65"/>
  </r>
  <r>
    <x v="269"/>
    <x v="0"/>
    <s v="India"/>
    <x v="3"/>
    <s v="Offline"/>
    <s v="High"/>
    <d v="2023-09-27T00:00:00"/>
    <n v="353"/>
    <n v="435.28"/>
    <n v="68.42"/>
    <x v="0"/>
    <x v="3"/>
    <n v="353"/>
    <n v="435.28"/>
    <x v="257"/>
    <n v="129501.57999999999"/>
  </r>
  <r>
    <x v="270"/>
    <x v="4"/>
    <s v="UK"/>
    <x v="3"/>
    <s v="Offline"/>
    <s v="High"/>
    <d v="2023-09-28T00:00:00"/>
    <n v="81"/>
    <n v="239.08"/>
    <n v="74.17"/>
    <x v="3"/>
    <x v="3"/>
    <n v="81"/>
    <n v="239.08"/>
    <x v="258"/>
    <n v="13357.710000000003"/>
  </r>
  <r>
    <x v="271"/>
    <x v="1"/>
    <s v="Germany"/>
    <x v="2"/>
    <s v="Offline"/>
    <s v="High"/>
    <d v="2023-09-29T00:00:00"/>
    <n v="404"/>
    <n v="270"/>
    <n v="156.29"/>
    <x v="1"/>
    <x v="2"/>
    <n v="404"/>
    <n v="270"/>
    <x v="259"/>
    <n v="45938.840000000004"/>
  </r>
  <r>
    <x v="272"/>
    <x v="1"/>
    <s v="USA"/>
    <x v="2"/>
    <s v="Offline"/>
    <s v="High"/>
    <d v="2023-09-30T00:00:00"/>
    <n v="73"/>
    <n v="93.33"/>
    <n v="162.13"/>
    <x v="1"/>
    <x v="2"/>
    <n v="73"/>
    <n v="93.33"/>
    <x v="260"/>
    <n v="0"/>
  </r>
  <r>
    <x v="273"/>
    <x v="1"/>
    <s v="India"/>
    <x v="0"/>
    <s v="Online"/>
    <s v="Medium"/>
    <d v="2023-10-01T00:00:00"/>
    <n v="214"/>
    <n v="159.57"/>
    <n v="349.96"/>
    <x v="1"/>
    <x v="0"/>
    <n v="214"/>
    <n v="159.57"/>
    <x v="261"/>
    <n v="0"/>
  </r>
  <r>
    <x v="274"/>
    <x v="2"/>
    <s v="Australia"/>
    <x v="0"/>
    <s v="Offline"/>
    <s v="Low"/>
    <d v="2023-10-02T00:00:00"/>
    <n v="218"/>
    <n v="118.97"/>
    <n v="205.02"/>
    <x v="2"/>
    <x v="0"/>
    <n v="218"/>
    <n v="118.97"/>
    <x v="262"/>
    <n v="0"/>
  </r>
  <r>
    <x v="275"/>
    <x v="1"/>
    <s v="Germany"/>
    <x v="4"/>
    <s v="Offline"/>
    <s v="High"/>
    <d v="2023-10-03T00:00:00"/>
    <n v="81"/>
    <n v="107.06"/>
    <n v="289.92"/>
    <x v="1"/>
    <x v="4"/>
    <n v="81"/>
    <n v="107.06"/>
    <x v="263"/>
    <n v="0"/>
  </r>
  <r>
    <x v="276"/>
    <x v="2"/>
    <s v="India"/>
    <x v="4"/>
    <s v="Offline"/>
    <s v="Low"/>
    <d v="2023-10-04T00:00:00"/>
    <n v="286"/>
    <n v="320.79000000000002"/>
    <n v="43.45"/>
    <x v="2"/>
    <x v="4"/>
    <n v="286"/>
    <n v="320.79000000000002"/>
    <x v="264"/>
    <n v="79319.240000000005"/>
  </r>
  <r>
    <x v="277"/>
    <x v="4"/>
    <s v="Australia"/>
    <x v="0"/>
    <s v="Online"/>
    <s v="High"/>
    <d v="2023-10-05T00:00:00"/>
    <n v="283"/>
    <n v="132.16"/>
    <n v="91.72"/>
    <x v="3"/>
    <x v="0"/>
    <n v="283"/>
    <n v="132.16"/>
    <x v="265"/>
    <n v="11444.519999999999"/>
  </r>
  <r>
    <x v="278"/>
    <x v="2"/>
    <s v="India"/>
    <x v="0"/>
    <s v="Online"/>
    <s v="High"/>
    <d v="2023-10-06T00:00:00"/>
    <n v="487"/>
    <n v="317.85000000000002"/>
    <n v="281.77"/>
    <x v="2"/>
    <x v="0"/>
    <n v="487"/>
    <n v="317.85000000000002"/>
    <x v="266"/>
    <n v="17570.960000000021"/>
  </r>
  <r>
    <x v="279"/>
    <x v="4"/>
    <s v="UK"/>
    <x v="1"/>
    <s v="Offline"/>
    <s v="Low"/>
    <d v="2023-10-07T00:00:00"/>
    <n v="329"/>
    <n v="33.94"/>
    <n v="23.02"/>
    <x v="3"/>
    <x v="1"/>
    <n v="329"/>
    <n v="33.94"/>
    <x v="267"/>
    <n v="3592.6799999999994"/>
  </r>
  <r>
    <x v="280"/>
    <x v="1"/>
    <s v="India"/>
    <x v="2"/>
    <s v="Online"/>
    <s v="Medium"/>
    <d v="2023-10-08T00:00:00"/>
    <n v="347"/>
    <n v="75.180000000000007"/>
    <n v="195.67"/>
    <x v="1"/>
    <x v="2"/>
    <n v="347"/>
    <n v="75.180000000000007"/>
    <x v="268"/>
    <n v="0"/>
  </r>
  <r>
    <x v="281"/>
    <x v="1"/>
    <s v="India"/>
    <x v="4"/>
    <s v="Offline"/>
    <s v="High"/>
    <d v="2023-10-09T00:00:00"/>
    <n v="375"/>
    <n v="140.9"/>
    <n v="240.55"/>
    <x v="1"/>
    <x v="4"/>
    <n v="375"/>
    <n v="140.9"/>
    <x v="269"/>
    <n v="0"/>
  </r>
  <r>
    <x v="282"/>
    <x v="4"/>
    <s v="India"/>
    <x v="2"/>
    <s v="Online"/>
    <s v="High"/>
    <d v="2023-10-10T00:00:00"/>
    <n v="104"/>
    <n v="300.54000000000002"/>
    <n v="241.65"/>
    <x v="3"/>
    <x v="2"/>
    <n v="104"/>
    <n v="300.54000000000002"/>
    <x v="270"/>
    <n v="6124.5600000000013"/>
  </r>
  <r>
    <x v="283"/>
    <x v="0"/>
    <s v="Germany"/>
    <x v="5"/>
    <s v="Online"/>
    <s v="High"/>
    <d v="2023-10-11T00:00:00"/>
    <n v="175"/>
    <n v="339.54"/>
    <n v="11.13"/>
    <x v="0"/>
    <x v="1"/>
    <n v="175"/>
    <n v="339.54"/>
    <x v="271"/>
    <n v="57471.750000000007"/>
  </r>
  <r>
    <x v="284"/>
    <x v="4"/>
    <s v="India"/>
    <x v="0"/>
    <s v="Online"/>
    <s v="Low"/>
    <d v="2023-10-12T00:00:00"/>
    <n v="41"/>
    <n v="224.14"/>
    <n v="130.19999999999999"/>
    <x v="3"/>
    <x v="0"/>
    <n v="41"/>
    <n v="224.14"/>
    <x v="272"/>
    <n v="3851.54"/>
  </r>
  <r>
    <x v="285"/>
    <x v="0"/>
    <s v="Australia"/>
    <x v="1"/>
    <s v="Online"/>
    <s v="Medium"/>
    <d v="2023-10-13T00:00:00"/>
    <n v="20"/>
    <n v="225.67"/>
    <n v="255.32"/>
    <x v="0"/>
    <x v="1"/>
    <n v="20"/>
    <n v="225.67"/>
    <x v="273"/>
    <n v="0"/>
  </r>
  <r>
    <x v="286"/>
    <x v="2"/>
    <s v="UK"/>
    <x v="3"/>
    <s v="Offline"/>
    <s v="Low"/>
    <d v="2023-10-14T00:00:00"/>
    <n v="310"/>
    <n v="363.64"/>
    <n v="61.3"/>
    <x v="2"/>
    <x v="3"/>
    <n v="310"/>
    <n v="363.64"/>
    <x v="274"/>
    <n v="93725.4"/>
  </r>
  <r>
    <x v="287"/>
    <x v="2"/>
    <s v="UK"/>
    <x v="1"/>
    <s v="Offline"/>
    <s v="Low"/>
    <d v="2023-10-15T00:00:00"/>
    <n v="226"/>
    <m/>
    <n v="278.77999999999997"/>
    <x v="2"/>
    <x v="1"/>
    <n v="226"/>
    <n v="259.99928571428569"/>
    <x v="27"/>
    <n v="0"/>
  </r>
  <r>
    <x v="288"/>
    <x v="2"/>
    <s v="India"/>
    <x v="1"/>
    <s v="Offline"/>
    <s v="Medium"/>
    <d v="2023-10-16T00:00:00"/>
    <m/>
    <n v="173.84"/>
    <n v="298.88"/>
    <x v="2"/>
    <x v="1"/>
    <n v="266.39655172413791"/>
    <n v="173.84"/>
    <x v="27"/>
    <n v="0"/>
  </r>
  <r>
    <x v="289"/>
    <x v="1"/>
    <s v="Germany"/>
    <x v="2"/>
    <s v="Online"/>
    <s v="Low"/>
    <d v="2023-10-17T00:00:00"/>
    <n v="111"/>
    <n v="410.26"/>
    <n v="392.82"/>
    <x v="1"/>
    <x v="2"/>
    <n v="111"/>
    <n v="410.26"/>
    <x v="275"/>
    <n v="1935.8399999999997"/>
  </r>
  <r>
    <x v="290"/>
    <x v="2"/>
    <s v="Germany"/>
    <x v="1"/>
    <s v="Offline"/>
    <s v="Medium"/>
    <d v="2023-10-18T00:00:00"/>
    <n v="434"/>
    <n v="303.58999999999997"/>
    <n v="85.52"/>
    <x v="2"/>
    <x v="1"/>
    <n v="434"/>
    <n v="303.58999999999997"/>
    <x v="276"/>
    <n v="94642.37999999999"/>
  </r>
  <r>
    <x v="291"/>
    <x v="0"/>
    <s v="Australia"/>
    <x v="4"/>
    <s v="Offline"/>
    <s v="High"/>
    <d v="2023-10-19T00:00:00"/>
    <n v="401"/>
    <n v="171.93"/>
    <n v="330.4"/>
    <x v="0"/>
    <x v="4"/>
    <n v="401"/>
    <n v="171.93"/>
    <x v="277"/>
    <n v="0"/>
  </r>
  <r>
    <x v="292"/>
    <x v="2"/>
    <s v="India"/>
    <x v="2"/>
    <s v="Offline"/>
    <s v="Medium"/>
    <d v="2023-10-20T00:00:00"/>
    <n v="276"/>
    <n v="453.23"/>
    <n v="209.08"/>
    <x v="2"/>
    <x v="2"/>
    <n v="276"/>
    <n v="453.23"/>
    <x v="278"/>
    <n v="67385.400000000009"/>
  </r>
  <r>
    <x v="293"/>
    <x v="4"/>
    <s v="UK"/>
    <x v="4"/>
    <s v="Online"/>
    <s v="High"/>
    <d v="2023-10-21T00:00:00"/>
    <m/>
    <n v="387.45"/>
    <n v="150.63999999999999"/>
    <x v="3"/>
    <x v="4"/>
    <n v="253.59701492537314"/>
    <n v="387.45"/>
    <x v="27"/>
    <n v="0"/>
  </r>
  <r>
    <x v="294"/>
    <x v="4"/>
    <s v="Germany"/>
    <x v="3"/>
    <s v="Online"/>
    <s v="Low"/>
    <d v="2023-10-22T00:00:00"/>
    <n v="188"/>
    <n v="136.12"/>
    <n v="50.71"/>
    <x v="3"/>
    <x v="3"/>
    <n v="188"/>
    <n v="136.12"/>
    <x v="279"/>
    <n v="16057.08"/>
  </r>
  <r>
    <x v="295"/>
    <x v="1"/>
    <s v="India"/>
    <x v="2"/>
    <s v="Online"/>
    <s v="Low"/>
    <d v="2023-10-23T00:00:00"/>
    <n v="97"/>
    <n v="324.42"/>
    <n v="294.73"/>
    <x v="1"/>
    <x v="2"/>
    <n v="97"/>
    <n v="324.42"/>
    <x v="280"/>
    <n v="2879.93"/>
  </r>
  <r>
    <x v="296"/>
    <x v="4"/>
    <s v="Germany"/>
    <x v="3"/>
    <s v="Offline"/>
    <s v="High"/>
    <d v="2023-10-24T00:00:00"/>
    <n v="50"/>
    <n v="299.89999999999998"/>
    <n v="95.87"/>
    <x v="3"/>
    <x v="3"/>
    <n v="50"/>
    <n v="299.89999999999998"/>
    <x v="281"/>
    <n v="10201.499999999998"/>
  </r>
  <r>
    <x v="297"/>
    <x v="0"/>
    <s v="Germany"/>
    <x v="2"/>
    <s v="Offline"/>
    <s v="Low"/>
    <d v="2023-10-25T00:00:00"/>
    <n v="410"/>
    <n v="203.59"/>
    <n v="149.83000000000001"/>
    <x v="0"/>
    <x v="2"/>
    <n v="410"/>
    <n v="203.59"/>
    <x v="282"/>
    <n v="22041.599999999995"/>
  </r>
  <r>
    <x v="298"/>
    <x v="2"/>
    <s v="UK"/>
    <x v="0"/>
    <s v="Offline"/>
    <s v="Medium"/>
    <d v="2023-10-26T00:00:00"/>
    <n v="85"/>
    <n v="186.64"/>
    <n v="26.89"/>
    <x v="2"/>
    <x v="0"/>
    <n v="85"/>
    <n v="186.64"/>
    <x v="283"/>
    <n v="13578.75"/>
  </r>
  <r>
    <x v="299"/>
    <x v="1"/>
    <s v="USA"/>
    <x v="1"/>
    <s v="Online"/>
    <s v="High"/>
    <d v="2023-10-27T00:00:00"/>
    <n v="386"/>
    <n v="175.06"/>
    <n v="320.94"/>
    <x v="1"/>
    <x v="1"/>
    <n v="386"/>
    <n v="175.06"/>
    <x v="284"/>
    <n v="0"/>
  </r>
  <r>
    <x v="300"/>
    <x v="2"/>
    <s v="Australia"/>
    <x v="0"/>
    <s v="Online"/>
    <s v="Low"/>
    <d v="2023-10-28T00:00:00"/>
    <n v="55"/>
    <n v="310.49"/>
    <n v="307.10000000000002"/>
    <x v="2"/>
    <x v="0"/>
    <n v="55"/>
    <n v="310.49"/>
    <x v="285"/>
    <n v="186.44999999999925"/>
  </r>
  <r>
    <x v="301"/>
    <x v="2"/>
    <s v="Australia"/>
    <x v="3"/>
    <s v="Offline"/>
    <s v="High"/>
    <d v="2023-10-29T00:00:00"/>
    <n v="169"/>
    <n v="223.99"/>
    <n v="293.98"/>
    <x v="2"/>
    <x v="3"/>
    <n v="169"/>
    <n v="223.99"/>
    <x v="286"/>
    <n v="0"/>
  </r>
  <r>
    <x v="302"/>
    <x v="0"/>
    <s v="UK"/>
    <x v="1"/>
    <s v="Online"/>
    <s v="Medium"/>
    <d v="2023-10-30T00:00:00"/>
    <n v="472"/>
    <n v="416.77"/>
    <n v="121.18"/>
    <x v="0"/>
    <x v="1"/>
    <n v="472"/>
    <n v="416.77"/>
    <x v="287"/>
    <n v="139518.47999999998"/>
  </r>
  <r>
    <x v="303"/>
    <x v="4"/>
    <s v="Germany"/>
    <x v="2"/>
    <s v="Online"/>
    <s v="Medium"/>
    <d v="2023-10-31T00:00:00"/>
    <n v="89"/>
    <n v="336.45"/>
    <n v="71.05"/>
    <x v="3"/>
    <x v="2"/>
    <n v="89"/>
    <n v="336.45"/>
    <x v="288"/>
    <n v="23620.6"/>
  </r>
  <r>
    <x v="304"/>
    <x v="4"/>
    <s v="India"/>
    <x v="1"/>
    <s v="Online"/>
    <s v="Low"/>
    <d v="2023-11-01T00:00:00"/>
    <n v="319"/>
    <n v="39.619999999999997"/>
    <n v="255.75"/>
    <x v="3"/>
    <x v="1"/>
    <n v="319"/>
    <n v="39.619999999999997"/>
    <x v="289"/>
    <n v="0"/>
  </r>
  <r>
    <x v="305"/>
    <x v="2"/>
    <s v="Germany"/>
    <x v="5"/>
    <s v="Online"/>
    <s v="Medium"/>
    <d v="2023-11-02T00:00:00"/>
    <n v="95"/>
    <n v="321.88"/>
    <n v="199.47"/>
    <x v="2"/>
    <x v="2"/>
    <n v="95"/>
    <n v="321.88"/>
    <x v="290"/>
    <n v="11628.949999999999"/>
  </r>
  <r>
    <x v="306"/>
    <x v="1"/>
    <s v="UK"/>
    <x v="5"/>
    <s v="Offline"/>
    <s v="High"/>
    <d v="2023-11-03T00:00:00"/>
    <n v="101"/>
    <n v="139.22"/>
    <n v="72.94"/>
    <x v="1"/>
    <x v="1"/>
    <n v="101"/>
    <n v="139.22"/>
    <x v="291"/>
    <n v="6694.28"/>
  </r>
  <r>
    <x v="307"/>
    <x v="4"/>
    <s v="Australia"/>
    <x v="5"/>
    <s v="Online"/>
    <s v="Medium"/>
    <d v="2023-11-04T00:00:00"/>
    <n v="157"/>
    <m/>
    <n v="274.99"/>
    <x v="3"/>
    <x v="1"/>
    <n v="157"/>
    <e v="#DIV/0!"/>
    <x v="27"/>
    <n v="0"/>
  </r>
  <r>
    <x v="308"/>
    <x v="1"/>
    <s v="Germany"/>
    <x v="1"/>
    <s v="Online"/>
    <s v="High"/>
    <d v="2023-11-05T00:00:00"/>
    <n v="170"/>
    <n v="341.67"/>
    <n v="396.47"/>
    <x v="1"/>
    <x v="1"/>
    <n v="170"/>
    <n v="341.67"/>
    <x v="292"/>
    <n v="0"/>
  </r>
  <r>
    <x v="309"/>
    <x v="4"/>
    <s v="Australia"/>
    <x v="4"/>
    <s v="Online"/>
    <s v="High"/>
    <d v="2023-11-06T00:00:00"/>
    <n v="211"/>
    <n v="119.26"/>
    <n v="299.39"/>
    <x v="3"/>
    <x v="4"/>
    <n v="211"/>
    <n v="119.26"/>
    <x v="293"/>
    <n v="0"/>
  </r>
  <r>
    <x v="310"/>
    <x v="1"/>
    <s v="India"/>
    <x v="3"/>
    <s v="Online"/>
    <s v="Medium"/>
    <d v="2023-11-07T00:00:00"/>
    <n v="433"/>
    <n v="231.15"/>
    <n v="296.51"/>
    <x v="1"/>
    <x v="3"/>
    <n v="433"/>
    <n v="231.15"/>
    <x v="294"/>
    <n v="0"/>
  </r>
  <r>
    <x v="311"/>
    <x v="0"/>
    <s v="Australia"/>
    <x v="0"/>
    <s v="Offline"/>
    <s v="Low"/>
    <d v="2023-11-08T00:00:00"/>
    <n v="425"/>
    <n v="99.21"/>
    <n v="380.22"/>
    <x v="0"/>
    <x v="0"/>
    <n v="425"/>
    <n v="99.21"/>
    <x v="295"/>
    <n v="0"/>
  </r>
  <r>
    <x v="312"/>
    <x v="1"/>
    <s v="Australia"/>
    <x v="2"/>
    <s v="Offline"/>
    <s v="Medium"/>
    <d v="2023-11-09T00:00:00"/>
    <n v="251"/>
    <n v="30.91"/>
    <n v="82.77"/>
    <x v="1"/>
    <x v="2"/>
    <n v="251"/>
    <n v="30.91"/>
    <x v="296"/>
    <n v="0"/>
  </r>
  <r>
    <x v="313"/>
    <x v="0"/>
    <s v="USA"/>
    <x v="1"/>
    <s v="Online"/>
    <s v="High"/>
    <d v="2023-11-10T00:00:00"/>
    <m/>
    <n v="192.35"/>
    <n v="227.09"/>
    <x v="0"/>
    <x v="1"/>
    <n v="266.39655172413791"/>
    <n v="192.35"/>
    <x v="27"/>
    <n v="0"/>
  </r>
  <r>
    <x v="314"/>
    <x v="0"/>
    <s v="USA"/>
    <x v="0"/>
    <s v="Online"/>
    <s v="High"/>
    <d v="2023-11-11T00:00:00"/>
    <n v="11"/>
    <n v="184.66"/>
    <n v="391.9"/>
    <x v="0"/>
    <x v="0"/>
    <n v="11"/>
    <n v="184.66"/>
    <x v="297"/>
    <n v="0"/>
  </r>
  <r>
    <x v="315"/>
    <x v="1"/>
    <s v="USA"/>
    <x v="2"/>
    <s v="Online"/>
    <s v="Medium"/>
    <d v="2023-11-12T00:00:00"/>
    <n v="234"/>
    <n v="497.76"/>
    <n v="67.790000000000006"/>
    <x v="1"/>
    <x v="2"/>
    <n v="234"/>
    <n v="497.76"/>
    <x v="298"/>
    <n v="100612.98"/>
  </r>
  <r>
    <x v="316"/>
    <x v="0"/>
    <s v="Australia"/>
    <x v="2"/>
    <s v="Online"/>
    <s v="Low"/>
    <d v="2023-11-13T00:00:00"/>
    <m/>
    <n v="225.94"/>
    <n v="280.7"/>
    <x v="0"/>
    <x v="2"/>
    <n v="229.63076923076923"/>
    <n v="225.94"/>
    <x v="27"/>
    <n v="0"/>
  </r>
  <r>
    <x v="317"/>
    <x v="2"/>
    <s v="UK"/>
    <x v="4"/>
    <s v="Online"/>
    <s v="Low"/>
    <d v="2023-11-14T00:00:00"/>
    <n v="242"/>
    <n v="170.12"/>
    <n v="235.15"/>
    <x v="2"/>
    <x v="4"/>
    <n v="242"/>
    <n v="170.12"/>
    <x v="299"/>
    <n v="0"/>
  </r>
  <r>
    <x v="318"/>
    <x v="0"/>
    <s v="Australia"/>
    <x v="3"/>
    <s v="Online"/>
    <s v="High"/>
    <d v="2023-11-15T00:00:00"/>
    <n v="470"/>
    <n v="292.33999999999997"/>
    <n v="235.42"/>
    <x v="0"/>
    <x v="3"/>
    <n v="470"/>
    <n v="292.33999999999997"/>
    <x v="300"/>
    <n v="26752.399999999994"/>
  </r>
  <r>
    <x v="319"/>
    <x v="4"/>
    <s v="UK"/>
    <x v="3"/>
    <s v="Offline"/>
    <s v="High"/>
    <d v="2023-11-16T00:00:00"/>
    <n v="423"/>
    <n v="48.94"/>
    <n v="279.67"/>
    <x v="3"/>
    <x v="3"/>
    <n v="423"/>
    <n v="48.94"/>
    <x v="301"/>
    <n v="0"/>
  </r>
  <r>
    <x v="320"/>
    <x v="1"/>
    <s v="UK"/>
    <x v="0"/>
    <s v="Online"/>
    <s v="Low"/>
    <d v="2023-11-17T00:00:00"/>
    <n v="426"/>
    <n v="481.02"/>
    <n v="371.99"/>
    <x v="1"/>
    <x v="0"/>
    <n v="426"/>
    <n v="481.02"/>
    <x v="302"/>
    <n v="46446.779999999992"/>
  </r>
  <r>
    <x v="321"/>
    <x v="2"/>
    <s v="USA"/>
    <x v="3"/>
    <s v="Offline"/>
    <s v="Medium"/>
    <d v="2023-11-18T00:00:00"/>
    <n v="86"/>
    <n v="319.31"/>
    <n v="313.47000000000003"/>
    <x v="2"/>
    <x v="3"/>
    <n v="86"/>
    <n v="319.31"/>
    <x v="303"/>
    <n v="502.23999999999785"/>
  </r>
  <r>
    <x v="322"/>
    <x v="1"/>
    <s v="Germany"/>
    <x v="1"/>
    <s v="Offline"/>
    <s v="High"/>
    <d v="2023-11-19T00:00:00"/>
    <n v="125"/>
    <n v="378.64"/>
    <n v="24.34"/>
    <x v="1"/>
    <x v="1"/>
    <n v="125"/>
    <n v="378.64"/>
    <x v="304"/>
    <n v="44287.5"/>
  </r>
  <r>
    <x v="323"/>
    <x v="4"/>
    <s v="India"/>
    <x v="5"/>
    <s v="Online"/>
    <s v="High"/>
    <d v="2023-11-20T00:00:00"/>
    <n v="163"/>
    <n v="89.39"/>
    <n v="341.39"/>
    <x v="3"/>
    <x v="1"/>
    <n v="163"/>
    <n v="89.39"/>
    <x v="305"/>
    <n v="0"/>
  </r>
  <r>
    <x v="324"/>
    <x v="4"/>
    <s v="USA"/>
    <x v="0"/>
    <s v="Offline"/>
    <s v="Low"/>
    <d v="2023-11-21T00:00:00"/>
    <n v="415"/>
    <n v="207.69"/>
    <n v="91.77"/>
    <x v="3"/>
    <x v="0"/>
    <n v="415"/>
    <n v="207.69"/>
    <x v="306"/>
    <n v="48106.8"/>
  </r>
  <r>
    <x v="325"/>
    <x v="4"/>
    <s v="USA"/>
    <x v="3"/>
    <s v="Offline"/>
    <s v="Medium"/>
    <d v="2023-11-22T00:00:00"/>
    <n v="112"/>
    <n v="214.23"/>
    <n v="152.01"/>
    <x v="3"/>
    <x v="3"/>
    <n v="112"/>
    <n v="214.23"/>
    <x v="307"/>
    <n v="6968.6399999999994"/>
  </r>
  <r>
    <x v="326"/>
    <x v="0"/>
    <s v="Germany"/>
    <x v="1"/>
    <s v="Offline"/>
    <s v="Low"/>
    <d v="2023-11-23T00:00:00"/>
    <n v="203"/>
    <n v="411.79"/>
    <n v="185.77"/>
    <x v="0"/>
    <x v="1"/>
    <n v="203"/>
    <n v="411.79"/>
    <x v="308"/>
    <n v="45882.060000000005"/>
  </r>
  <r>
    <x v="327"/>
    <x v="0"/>
    <s v="India"/>
    <x v="4"/>
    <s v="Offline"/>
    <s v="Medium"/>
    <d v="2023-11-24T00:00:00"/>
    <m/>
    <n v="5.61"/>
    <n v="193.4"/>
    <x v="0"/>
    <x v="4"/>
    <n v="253.59701492537314"/>
    <n v="5.61"/>
    <x v="27"/>
    <n v="0"/>
  </r>
  <r>
    <x v="328"/>
    <x v="1"/>
    <s v="Australia"/>
    <x v="0"/>
    <s v="Offline"/>
    <s v="Medium"/>
    <d v="2023-11-25T00:00:00"/>
    <n v="368"/>
    <n v="153.91999999999999"/>
    <n v="175.2"/>
    <x v="1"/>
    <x v="0"/>
    <n v="368"/>
    <n v="153.91999999999999"/>
    <x v="309"/>
    <n v="0"/>
  </r>
  <r>
    <x v="329"/>
    <x v="1"/>
    <s v="Australia"/>
    <x v="4"/>
    <s v="Offline"/>
    <s v="Medium"/>
    <d v="2023-11-26T00:00:00"/>
    <n v="99"/>
    <n v="490.71"/>
    <n v="375.07"/>
    <x v="1"/>
    <x v="4"/>
    <n v="99"/>
    <n v="490.71"/>
    <x v="310"/>
    <n v="11448.359999999999"/>
  </r>
  <r>
    <x v="330"/>
    <x v="2"/>
    <s v="USA"/>
    <x v="4"/>
    <s v="Online"/>
    <s v="High"/>
    <d v="2023-11-27T00:00:00"/>
    <n v="183"/>
    <n v="240.07"/>
    <n v="283"/>
    <x v="2"/>
    <x v="4"/>
    <n v="183"/>
    <n v="240.07"/>
    <x v="311"/>
    <n v="0"/>
  </r>
  <r>
    <x v="331"/>
    <x v="3"/>
    <s v="India"/>
    <x v="4"/>
    <s v="Offline"/>
    <s v="Low"/>
    <d v="2023-11-28T00:00:00"/>
    <n v="131"/>
    <n v="194.35"/>
    <n v="253.21"/>
    <x v="0"/>
    <x v="4"/>
    <n v="131"/>
    <n v="194.35"/>
    <x v="312"/>
    <n v="0"/>
  </r>
  <r>
    <x v="332"/>
    <x v="1"/>
    <s v="USA"/>
    <x v="2"/>
    <s v="Offline"/>
    <s v="Low"/>
    <d v="2023-11-29T00:00:00"/>
    <n v="152"/>
    <n v="64.319999999999993"/>
    <n v="21.84"/>
    <x v="1"/>
    <x v="2"/>
    <n v="152"/>
    <n v="64.319999999999993"/>
    <x v="313"/>
    <n v="6456.9599999999982"/>
  </r>
  <r>
    <x v="333"/>
    <x v="0"/>
    <s v="UK"/>
    <x v="2"/>
    <s v="Offline"/>
    <s v="Medium"/>
    <d v="2023-11-30T00:00:00"/>
    <n v="491"/>
    <n v="487.21"/>
    <n v="361.76"/>
    <x v="0"/>
    <x v="2"/>
    <n v="491"/>
    <n v="487.21"/>
    <x v="314"/>
    <n v="61595.95"/>
  </r>
  <r>
    <x v="334"/>
    <x v="4"/>
    <s v="USA"/>
    <x v="4"/>
    <s v="Online"/>
    <s v="High"/>
    <d v="2023-12-01T00:00:00"/>
    <n v="115"/>
    <n v="14.91"/>
    <n v="363.94"/>
    <x v="3"/>
    <x v="4"/>
    <n v="115"/>
    <n v="14.91"/>
    <x v="315"/>
    <n v="0"/>
  </r>
  <r>
    <x v="335"/>
    <x v="1"/>
    <s v="USA"/>
    <x v="0"/>
    <s v="Offline"/>
    <s v="High"/>
    <d v="2023-12-02T00:00:00"/>
    <n v="384"/>
    <n v="369.9"/>
    <n v="312.52"/>
    <x v="1"/>
    <x v="0"/>
    <n v="384"/>
    <n v="369.9"/>
    <x v="316"/>
    <n v="22033.919999999998"/>
  </r>
  <r>
    <x v="336"/>
    <x v="2"/>
    <s v="Australia"/>
    <x v="1"/>
    <s v="Online"/>
    <s v="Low"/>
    <d v="2023-12-03T00:00:00"/>
    <n v="437"/>
    <n v="385.46"/>
    <n v="4.8"/>
    <x v="2"/>
    <x v="1"/>
    <n v="437"/>
    <n v="385.46"/>
    <x v="317"/>
    <n v="166348.41999999998"/>
  </r>
  <r>
    <x v="337"/>
    <x v="0"/>
    <s v="Australia"/>
    <x v="1"/>
    <s v="Offline"/>
    <s v="High"/>
    <d v="2023-12-04T00:00:00"/>
    <n v="314"/>
    <n v="125.61"/>
    <n v="24.8"/>
    <x v="0"/>
    <x v="1"/>
    <n v="314"/>
    <n v="125.61"/>
    <x v="318"/>
    <n v="31654.34"/>
  </r>
  <r>
    <x v="338"/>
    <x v="1"/>
    <s v="Australia"/>
    <x v="3"/>
    <s v="Online"/>
    <s v="High"/>
    <d v="2023-12-05T00:00:00"/>
    <n v="369"/>
    <n v="337.42"/>
    <n v="91.64"/>
    <x v="1"/>
    <x v="3"/>
    <n v="369"/>
    <n v="337.42"/>
    <x v="319"/>
    <n v="90692.82"/>
  </r>
  <r>
    <x v="339"/>
    <x v="1"/>
    <s v="UK"/>
    <x v="0"/>
    <s v="Online"/>
    <s v="Medium"/>
    <d v="2023-12-06T00:00:00"/>
    <n v="468"/>
    <n v="51"/>
    <n v="54.28"/>
    <x v="1"/>
    <x v="0"/>
    <n v="468"/>
    <n v="51"/>
    <x v="320"/>
    <n v="0"/>
  </r>
  <r>
    <x v="340"/>
    <x v="0"/>
    <s v="Australia"/>
    <x v="2"/>
    <s v="Offline"/>
    <s v="High"/>
    <d v="2023-12-07T00:00:00"/>
    <n v="326"/>
    <n v="132.24"/>
    <n v="160.74"/>
    <x v="0"/>
    <x v="2"/>
    <n v="326"/>
    <n v="132.24"/>
    <x v="321"/>
    <n v="0"/>
  </r>
  <r>
    <x v="341"/>
    <x v="1"/>
    <s v="India"/>
    <x v="4"/>
    <s v="Offline"/>
    <s v="Medium"/>
    <d v="2023-12-08T00:00:00"/>
    <n v="460"/>
    <n v="395.01"/>
    <n v="369.2"/>
    <x v="1"/>
    <x v="4"/>
    <n v="460"/>
    <n v="395.01"/>
    <x v="322"/>
    <n v="11872.6"/>
  </r>
  <r>
    <x v="342"/>
    <x v="0"/>
    <s v="Germany"/>
    <x v="3"/>
    <s v="Online"/>
    <s v="Low"/>
    <d v="2023-12-09T00:00:00"/>
    <n v="132"/>
    <n v="433.02"/>
    <n v="189.88"/>
    <x v="0"/>
    <x v="3"/>
    <n v="132"/>
    <n v="433.02"/>
    <x v="323"/>
    <n v="32094.48"/>
  </r>
  <r>
    <x v="343"/>
    <x v="4"/>
    <s v="India"/>
    <x v="1"/>
    <s v="Offline"/>
    <s v="High"/>
    <d v="2023-12-10T00:00:00"/>
    <n v="399"/>
    <n v="306.2"/>
    <n v="7.33"/>
    <x v="3"/>
    <x v="1"/>
    <n v="399"/>
    <n v="306.2"/>
    <x v="324"/>
    <n v="119249.13"/>
  </r>
  <r>
    <x v="344"/>
    <x v="0"/>
    <s v="India"/>
    <x v="2"/>
    <s v="Online"/>
    <s v="Low"/>
    <d v="2023-12-11T00:00:00"/>
    <n v="18"/>
    <n v="255.89"/>
    <n v="114.53"/>
    <x v="0"/>
    <x v="2"/>
    <n v="18"/>
    <n v="255.89"/>
    <x v="325"/>
    <n v="2544.4799999999996"/>
  </r>
  <r>
    <x v="345"/>
    <x v="0"/>
    <s v="Australia"/>
    <x v="2"/>
    <s v="Online"/>
    <s v="Low"/>
    <d v="2023-12-12T00:00:00"/>
    <n v="271"/>
    <n v="83.86"/>
    <n v="19.75"/>
    <x v="0"/>
    <x v="2"/>
    <n v="271"/>
    <n v="83.86"/>
    <x v="326"/>
    <n v="17373.810000000001"/>
  </r>
  <r>
    <x v="346"/>
    <x v="3"/>
    <s v="Germany"/>
    <x v="4"/>
    <s v="Online"/>
    <s v="High"/>
    <d v="2023-12-13T00:00:00"/>
    <n v="82"/>
    <n v="36.24"/>
    <n v="16.440000000000001"/>
    <x v="0"/>
    <x v="4"/>
    <n v="82"/>
    <n v="36.24"/>
    <x v="327"/>
    <n v="1623.6000000000001"/>
  </r>
  <r>
    <x v="347"/>
    <x v="1"/>
    <s v="Germany"/>
    <x v="1"/>
    <s v="Online"/>
    <s v="High"/>
    <d v="2023-12-14T00:00:00"/>
    <n v="368"/>
    <n v="63.24"/>
    <n v="111.74"/>
    <x v="1"/>
    <x v="1"/>
    <n v="368"/>
    <n v="63.24"/>
    <x v="328"/>
    <n v="0"/>
  </r>
  <r>
    <x v="348"/>
    <x v="1"/>
    <s v="Germany"/>
    <x v="0"/>
    <s v="Online"/>
    <s v="Low"/>
    <d v="2023-12-15T00:00:00"/>
    <n v="232"/>
    <n v="117.54"/>
    <n v="111.69"/>
    <x v="1"/>
    <x v="0"/>
    <n v="232"/>
    <n v="117.54"/>
    <x v="329"/>
    <n v="1357.2000000000021"/>
  </r>
  <r>
    <x v="349"/>
    <x v="0"/>
    <s v="UK"/>
    <x v="2"/>
    <s v="Offline"/>
    <s v="High"/>
    <d v="2023-12-16T00:00:00"/>
    <n v="425"/>
    <n v="174.13"/>
    <n v="315.27999999999997"/>
    <x v="0"/>
    <x v="2"/>
    <n v="425"/>
    <n v="174.13"/>
    <x v="330"/>
    <n v="0"/>
  </r>
  <r>
    <x v="350"/>
    <x v="3"/>
    <m/>
    <x v="5"/>
    <m/>
    <m/>
    <m/>
    <m/>
    <m/>
    <m/>
    <x v="4"/>
    <x v="5"/>
    <m/>
    <m/>
    <x v="33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85E15D-CB66-4FF6-AD49-6BC7C8530BAE}" name="PivotTable3"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colHeaderCaption="Region">
  <location ref="A26:G34" firstHeaderRow="1" firstDataRow="2" firstDataCol="1"/>
  <pivotFields count="16">
    <pivotField showAll="0"/>
    <pivotField showAll="0"/>
    <pivotField showAll="0"/>
    <pivotField showAll="0">
      <items count="7">
        <item x="0"/>
        <item x="2"/>
        <item x="4"/>
        <item x="1"/>
        <item x="3"/>
        <item x="5"/>
        <item t="default"/>
      </items>
    </pivotField>
    <pivotField showAll="0"/>
    <pivotField showAll="0"/>
    <pivotField showAll="0"/>
    <pivotField showAll="0"/>
    <pivotField showAll="0"/>
    <pivotField showAll="0"/>
    <pivotField axis="axisCol" showAll="0">
      <items count="6">
        <item x="0"/>
        <item x="2"/>
        <item x="3"/>
        <item x="1"/>
        <item x="4"/>
        <item t="default"/>
      </items>
    </pivotField>
    <pivotField axis="axisRow" showAll="0">
      <items count="7">
        <item x="0"/>
        <item x="2"/>
        <item x="4"/>
        <item x="1"/>
        <item x="3"/>
        <item x="5"/>
        <item t="default"/>
      </items>
    </pivotField>
    <pivotField showAll="0"/>
    <pivotField showAll="0"/>
    <pivotField dataField="1" showAll="0"/>
    <pivotField showAll="0"/>
  </pivotFields>
  <rowFields count="1">
    <field x="11"/>
  </rowFields>
  <rowItems count="7">
    <i>
      <x/>
    </i>
    <i>
      <x v="1"/>
    </i>
    <i>
      <x v="2"/>
    </i>
    <i>
      <x v="3"/>
    </i>
    <i>
      <x v="4"/>
    </i>
    <i>
      <x v="5"/>
    </i>
    <i t="grand">
      <x/>
    </i>
  </rowItems>
  <colFields count="1">
    <field x="10"/>
  </colFields>
  <colItems count="6">
    <i>
      <x/>
    </i>
    <i>
      <x v="1"/>
    </i>
    <i>
      <x v="2"/>
    </i>
    <i>
      <x v="3"/>
    </i>
    <i>
      <x v="4"/>
    </i>
    <i t="grand">
      <x/>
    </i>
  </colItems>
  <dataFields count="1">
    <dataField name="Total sales by category and regio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25ECD4-A3D6-4572-B8A9-2ADB08D823D6}" name="PivotTable2"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16">
    <pivotField showAll="0"/>
    <pivotField axis="axisRow" showAll="0">
      <items count="6">
        <item x="0"/>
        <item x="2"/>
        <item x="4"/>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Average of Price" fld="15"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27E46E-E31B-41D1-BD34-47CC444607D0}" name="PivotTable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Order ID">
  <location ref="F12:G18" firstHeaderRow="1" firstDataRow="1" firstDataCol="1"/>
  <pivotFields count="16">
    <pivotField axis="axisRow" showAll="0" measureFilter="1" sortType="descending">
      <items count="3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autoSortScope>
        <pivotArea dataOnly="0" outline="0" fieldPosition="0">
          <references count="1">
            <reference field="4294967294" count="1" selected="0">
              <x v="0"/>
            </reference>
          </references>
        </pivotArea>
      </autoSortScope>
    </pivotField>
    <pivotField showAll="0">
      <items count="6">
        <item x="0"/>
        <item x="2"/>
        <item x="4"/>
        <item x="1"/>
        <item x="3"/>
        <item t="default"/>
      </items>
    </pivotField>
    <pivotField showAll="0"/>
    <pivotField showAll="0"/>
    <pivotField showAll="0"/>
    <pivotField showAll="0"/>
    <pivotField showAll="0"/>
    <pivotField showAll="0"/>
    <pivotField showAll="0"/>
    <pivotField showAll="0"/>
    <pivotField showAll="0">
      <items count="6">
        <item x="0"/>
        <item x="2"/>
        <item x="3"/>
        <item x="1"/>
        <item x="4"/>
        <item t="default"/>
      </items>
    </pivotField>
    <pivotField showAll="0"/>
    <pivotField showAll="0"/>
    <pivotField showAll="0"/>
    <pivotField dataField="1" showAll="0">
      <items count="333">
        <item x="66"/>
        <item x="182"/>
        <item x="73"/>
        <item x="315"/>
        <item x="192"/>
        <item x="127"/>
        <item x="297"/>
        <item x="161"/>
        <item x="238"/>
        <item x="140"/>
        <item x="327"/>
        <item x="46"/>
        <item x="159"/>
        <item x="12"/>
        <item x="227"/>
        <item x="134"/>
        <item x="103"/>
        <item x="77"/>
        <item x="273"/>
        <item x="325"/>
        <item x="95"/>
        <item x="214"/>
        <item x="3"/>
        <item x="166"/>
        <item x="118"/>
        <item x="260"/>
        <item x="91"/>
        <item x="171"/>
        <item x="225"/>
        <item x="152"/>
        <item x="249"/>
        <item x="296"/>
        <item x="207"/>
        <item x="6"/>
        <item x="263"/>
        <item x="236"/>
        <item x="183"/>
        <item x="272"/>
        <item x="241"/>
        <item x="313"/>
        <item x="128"/>
        <item x="255"/>
        <item x="38"/>
        <item x="14"/>
        <item x="90"/>
        <item x="218"/>
        <item x="69"/>
        <item x="81"/>
        <item x="267"/>
        <item x="185"/>
        <item x="153"/>
        <item x="31"/>
        <item x="25"/>
        <item x="289"/>
        <item x="150"/>
        <item x="68"/>
        <item x="72"/>
        <item x="291"/>
        <item x="32"/>
        <item x="107"/>
        <item x="126"/>
        <item x="155"/>
        <item x="79"/>
        <item x="85"/>
        <item x="305"/>
        <item x="281"/>
        <item x="5"/>
        <item x="29"/>
        <item x="125"/>
        <item x="40"/>
        <item x="205"/>
        <item x="117"/>
        <item x="145"/>
        <item x="283"/>
        <item x="133"/>
        <item x="136"/>
        <item x="285"/>
        <item x="22"/>
        <item x="168"/>
        <item x="112"/>
        <item x="197"/>
        <item x="258"/>
        <item x="237"/>
        <item x="230"/>
        <item x="301"/>
        <item x="224"/>
        <item x="243"/>
        <item x="110"/>
        <item x="233"/>
        <item x="51"/>
        <item x="57"/>
        <item x="326"/>
        <item x="141"/>
        <item x="328"/>
        <item x="87"/>
        <item x="229"/>
        <item x="93"/>
        <item x="176"/>
        <item x="114"/>
        <item x="320"/>
        <item x="111"/>
        <item x="307"/>
        <item x="193"/>
        <item x="219"/>
        <item x="26"/>
        <item x="293"/>
        <item x="212"/>
        <item x="312"/>
        <item x="279"/>
        <item x="262"/>
        <item x="253"/>
        <item x="268"/>
        <item x="108"/>
        <item x="223"/>
        <item x="329"/>
        <item x="303"/>
        <item x="228"/>
        <item x="109"/>
        <item x="288"/>
        <item x="92"/>
        <item x="204"/>
        <item x="49"/>
        <item x="290"/>
        <item x="19"/>
        <item x="63"/>
        <item x="37"/>
        <item x="270"/>
        <item x="105"/>
        <item x="67"/>
        <item x="280"/>
        <item x="247"/>
        <item x="54"/>
        <item x="208"/>
        <item x="211"/>
        <item x="30"/>
        <item x="52"/>
        <item x="261"/>
        <item x="130"/>
        <item x="226"/>
        <item x="0"/>
        <item x="235"/>
        <item x="60"/>
        <item x="34"/>
        <item x="265"/>
        <item x="286"/>
        <item x="318"/>
        <item x="244"/>
        <item x="131"/>
        <item x="24"/>
        <item x="13"/>
        <item x="299"/>
        <item x="65"/>
        <item x="184"/>
        <item x="210"/>
        <item x="179"/>
        <item x="295"/>
        <item x="58"/>
        <item x="321"/>
        <item x="124"/>
        <item x="311"/>
        <item x="82"/>
        <item x="99"/>
        <item x="18"/>
        <item x="275"/>
        <item x="53"/>
        <item x="191"/>
        <item x="195"/>
        <item x="209"/>
        <item x="122"/>
        <item x="304"/>
        <item x="119"/>
        <item x="33"/>
        <item x="254"/>
        <item x="256"/>
        <item x="84"/>
        <item x="310"/>
        <item x="78"/>
        <item x="106"/>
        <item x="180"/>
        <item x="175"/>
        <item x="242"/>
        <item x="269"/>
        <item x="139"/>
        <item x="248"/>
        <item x="48"/>
        <item x="55"/>
        <item x="116"/>
        <item x="309"/>
        <item x="323"/>
        <item x="203"/>
        <item x="292"/>
        <item x="217"/>
        <item x="199"/>
        <item x="250"/>
        <item x="271"/>
        <item x="42"/>
        <item x="222"/>
        <item x="62"/>
        <item x="75"/>
        <item x="173"/>
        <item x="165"/>
        <item x="45"/>
        <item x="144"/>
        <item x="284"/>
        <item x="277"/>
        <item x="89"/>
        <item x="20"/>
        <item x="47"/>
        <item x="115"/>
        <item x="44"/>
        <item x="160"/>
        <item x="137"/>
        <item x="177"/>
        <item x="94"/>
        <item x="59"/>
        <item x="330"/>
        <item x="198"/>
        <item x="71"/>
        <item x="35"/>
        <item x="232"/>
        <item x="16"/>
        <item x="186"/>
        <item x="43"/>
        <item x="36"/>
        <item x="178"/>
        <item x="282"/>
        <item x="308"/>
        <item x="2"/>
        <item x="80"/>
        <item x="306"/>
        <item x="187"/>
        <item x="56"/>
        <item x="220"/>
        <item x="7"/>
        <item x="213"/>
        <item x="97"/>
        <item x="172"/>
        <item x="264"/>
        <item x="143"/>
        <item x="10"/>
        <item x="174"/>
        <item x="146"/>
        <item x="170"/>
        <item x="215"/>
        <item x="70"/>
        <item x="101"/>
        <item x="96"/>
        <item x="120"/>
        <item x="294"/>
        <item x="102"/>
        <item x="88"/>
        <item x="181"/>
        <item x="188"/>
        <item x="240"/>
        <item x="164"/>
        <item x="196"/>
        <item x="259"/>
        <item x="246"/>
        <item x="21"/>
        <item x="86"/>
        <item x="61"/>
        <item x="64"/>
        <item x="8"/>
        <item x="274"/>
        <item x="154"/>
        <item x="298"/>
        <item x="189"/>
        <item x="11"/>
        <item x="151"/>
        <item x="148"/>
        <item x="83"/>
        <item x="121"/>
        <item x="201"/>
        <item x="324"/>
        <item x="142"/>
        <item x="15"/>
        <item x="113"/>
        <item x="319"/>
        <item x="278"/>
        <item x="194"/>
        <item x="239"/>
        <item x="98"/>
        <item x="123"/>
        <item x="17"/>
        <item x="216"/>
        <item x="41"/>
        <item x="276"/>
        <item x="9"/>
        <item x="300"/>
        <item x="132"/>
        <item x="23"/>
        <item x="316"/>
        <item x="74"/>
        <item x="50"/>
        <item x="129"/>
        <item x="257"/>
        <item x="39"/>
        <item x="138"/>
        <item x="28"/>
        <item x="266"/>
        <item x="1"/>
        <item x="76"/>
        <item x="162"/>
        <item x="200"/>
        <item x="202"/>
        <item x="104"/>
        <item x="317"/>
        <item x="163"/>
        <item x="252"/>
        <item x="158"/>
        <item x="169"/>
        <item x="234"/>
        <item x="251"/>
        <item x="322"/>
        <item x="231"/>
        <item x="156"/>
        <item x="4"/>
        <item x="190"/>
        <item x="287"/>
        <item x="100"/>
        <item x="147"/>
        <item x="302"/>
        <item x="206"/>
        <item x="167"/>
        <item x="245"/>
        <item x="157"/>
        <item x="149"/>
        <item x="135"/>
        <item x="221"/>
        <item x="314"/>
        <item x="27"/>
        <item x="331"/>
        <item t="default"/>
      </items>
    </pivotField>
    <pivotField showAll="0"/>
  </pivotFields>
  <rowFields count="1">
    <field x="0"/>
  </rowFields>
  <rowItems count="6">
    <i>
      <x v="333"/>
    </i>
    <i>
      <x v="230"/>
    </i>
    <i>
      <x v="141"/>
    </i>
    <i>
      <x v="155"/>
    </i>
    <i>
      <x v="164"/>
    </i>
    <i t="grand">
      <x/>
    </i>
  </rowItems>
  <colItems count="1">
    <i/>
  </colItems>
  <dataFields count="1">
    <dataField name="Top 5 orders by revenue" fld="14" baseField="0" baseItem="333"/>
  </dataField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7608E6-76A4-49FD-8537-0EE63ED33940}" name="PivotTable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A12:B18" firstHeaderRow="1" firstDataRow="1" firstDataCol="1"/>
  <pivotFields count="16">
    <pivotField showAll="0"/>
    <pivotField showAll="0">
      <items count="6">
        <item x="0"/>
        <item x="2"/>
        <item x="4"/>
        <item x="1"/>
        <item x="3"/>
        <item t="default"/>
      </items>
    </pivotField>
    <pivotField showAll="0"/>
    <pivotField showAll="0"/>
    <pivotField showAll="0"/>
    <pivotField showAll="0"/>
    <pivotField showAll="0"/>
    <pivotField showAll="0"/>
    <pivotField showAll="0"/>
    <pivotField showAll="0"/>
    <pivotField axis="axisRow" showAll="0">
      <items count="6">
        <item x="0"/>
        <item x="2"/>
        <item x="3"/>
        <item x="1"/>
        <item x="4"/>
        <item t="default"/>
      </items>
    </pivotField>
    <pivotField showAll="0"/>
    <pivotField showAll="0"/>
    <pivotField showAll="0"/>
    <pivotField showAll="0"/>
    <pivotField dataField="1" showAll="0"/>
  </pivotFields>
  <rowFields count="1">
    <field x="10"/>
  </rowFields>
  <rowItems count="6">
    <i>
      <x/>
    </i>
    <i>
      <x v="1"/>
    </i>
    <i>
      <x v="2"/>
    </i>
    <i>
      <x v="3"/>
    </i>
    <i>
      <x v="4"/>
    </i>
    <i t="grand">
      <x/>
    </i>
  </rowItems>
  <colItems count="1">
    <i/>
  </colItems>
  <dataFields count="1">
    <dataField name="Avg profit by Region" fld="15" subtotal="average"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EF4C43-0AFB-4131-8E7C-3399AB33097E}" name="PivotTable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D2:E8" firstHeaderRow="1" firstDataRow="1" firstDataCol="1"/>
  <pivotFields count="16">
    <pivotField showAll="0"/>
    <pivotField showAll="0">
      <items count="6">
        <item x="0"/>
        <item x="2"/>
        <item x="4"/>
        <item x="1"/>
        <item x="3"/>
        <item t="default"/>
      </items>
    </pivotField>
    <pivotField showAll="0"/>
    <pivotField showAll="0"/>
    <pivotField showAll="0"/>
    <pivotField showAll="0"/>
    <pivotField showAll="0"/>
    <pivotField showAll="0"/>
    <pivotField showAll="0"/>
    <pivotField showAll="0"/>
    <pivotField axis="axisRow" showAll="0">
      <items count="6">
        <item x="0"/>
        <item x="2"/>
        <item x="3"/>
        <item x="1"/>
        <item x="4"/>
        <item t="default"/>
      </items>
    </pivotField>
    <pivotField showAll="0">
      <items count="7">
        <item x="0"/>
        <item x="2"/>
        <item x="4"/>
        <item x="1"/>
        <item x="3"/>
        <item x="5"/>
        <item t="default"/>
      </items>
    </pivotField>
    <pivotField showAll="0"/>
    <pivotField showAll="0"/>
    <pivotField dataField="1" showAll="0">
      <items count="333">
        <item x="66"/>
        <item x="182"/>
        <item x="73"/>
        <item x="315"/>
        <item x="192"/>
        <item x="127"/>
        <item x="297"/>
        <item x="161"/>
        <item x="238"/>
        <item x="140"/>
        <item x="327"/>
        <item x="46"/>
        <item x="159"/>
        <item x="12"/>
        <item x="227"/>
        <item x="134"/>
        <item x="103"/>
        <item x="77"/>
        <item x="273"/>
        <item x="325"/>
        <item x="95"/>
        <item x="214"/>
        <item x="3"/>
        <item x="166"/>
        <item x="118"/>
        <item x="260"/>
        <item x="91"/>
        <item x="171"/>
        <item x="225"/>
        <item x="152"/>
        <item x="249"/>
        <item x="296"/>
        <item x="207"/>
        <item x="6"/>
        <item x="263"/>
        <item x="236"/>
        <item x="183"/>
        <item x="272"/>
        <item x="241"/>
        <item x="313"/>
        <item x="128"/>
        <item x="255"/>
        <item x="38"/>
        <item x="14"/>
        <item x="90"/>
        <item x="218"/>
        <item x="69"/>
        <item x="81"/>
        <item x="267"/>
        <item x="185"/>
        <item x="153"/>
        <item x="31"/>
        <item x="25"/>
        <item x="289"/>
        <item x="150"/>
        <item x="68"/>
        <item x="72"/>
        <item x="291"/>
        <item x="32"/>
        <item x="107"/>
        <item x="126"/>
        <item x="155"/>
        <item x="79"/>
        <item x="85"/>
        <item x="305"/>
        <item x="281"/>
        <item x="5"/>
        <item x="29"/>
        <item x="125"/>
        <item x="40"/>
        <item x="205"/>
        <item x="117"/>
        <item x="145"/>
        <item x="283"/>
        <item x="133"/>
        <item x="136"/>
        <item x="285"/>
        <item x="22"/>
        <item x="168"/>
        <item x="112"/>
        <item x="197"/>
        <item x="258"/>
        <item x="237"/>
        <item x="230"/>
        <item x="301"/>
        <item x="224"/>
        <item x="243"/>
        <item x="110"/>
        <item x="233"/>
        <item x="51"/>
        <item x="57"/>
        <item x="326"/>
        <item x="141"/>
        <item x="328"/>
        <item x="87"/>
        <item x="229"/>
        <item x="93"/>
        <item x="176"/>
        <item x="114"/>
        <item x="320"/>
        <item x="111"/>
        <item x="307"/>
        <item x="193"/>
        <item x="219"/>
        <item x="26"/>
        <item x="293"/>
        <item x="212"/>
        <item x="312"/>
        <item x="279"/>
        <item x="262"/>
        <item x="253"/>
        <item x="268"/>
        <item x="108"/>
        <item x="223"/>
        <item x="329"/>
        <item x="303"/>
        <item x="228"/>
        <item x="109"/>
        <item x="288"/>
        <item x="92"/>
        <item x="204"/>
        <item x="49"/>
        <item x="290"/>
        <item x="19"/>
        <item x="63"/>
        <item x="37"/>
        <item x="270"/>
        <item x="105"/>
        <item x="67"/>
        <item x="280"/>
        <item x="247"/>
        <item x="54"/>
        <item x="208"/>
        <item x="211"/>
        <item x="30"/>
        <item x="52"/>
        <item x="261"/>
        <item x="130"/>
        <item x="226"/>
        <item x="0"/>
        <item x="235"/>
        <item x="60"/>
        <item x="34"/>
        <item x="265"/>
        <item x="286"/>
        <item x="318"/>
        <item x="244"/>
        <item x="131"/>
        <item x="24"/>
        <item x="13"/>
        <item x="299"/>
        <item x="65"/>
        <item x="184"/>
        <item x="210"/>
        <item x="179"/>
        <item x="295"/>
        <item x="58"/>
        <item x="321"/>
        <item x="124"/>
        <item x="311"/>
        <item x="82"/>
        <item x="99"/>
        <item x="18"/>
        <item x="275"/>
        <item x="53"/>
        <item x="191"/>
        <item x="195"/>
        <item x="209"/>
        <item x="122"/>
        <item x="304"/>
        <item x="119"/>
        <item x="33"/>
        <item x="254"/>
        <item x="256"/>
        <item x="84"/>
        <item x="310"/>
        <item x="78"/>
        <item x="106"/>
        <item x="180"/>
        <item x="175"/>
        <item x="242"/>
        <item x="269"/>
        <item x="139"/>
        <item x="248"/>
        <item x="48"/>
        <item x="55"/>
        <item x="116"/>
        <item x="309"/>
        <item x="323"/>
        <item x="203"/>
        <item x="292"/>
        <item x="217"/>
        <item x="199"/>
        <item x="250"/>
        <item x="271"/>
        <item x="42"/>
        <item x="222"/>
        <item x="62"/>
        <item x="75"/>
        <item x="173"/>
        <item x="165"/>
        <item x="45"/>
        <item x="144"/>
        <item x="284"/>
        <item x="277"/>
        <item x="89"/>
        <item x="20"/>
        <item x="47"/>
        <item x="115"/>
        <item x="44"/>
        <item x="160"/>
        <item x="137"/>
        <item x="177"/>
        <item x="94"/>
        <item x="59"/>
        <item x="330"/>
        <item x="198"/>
        <item x="71"/>
        <item x="35"/>
        <item x="232"/>
        <item x="16"/>
        <item x="186"/>
        <item x="43"/>
        <item x="36"/>
        <item x="178"/>
        <item x="282"/>
        <item x="308"/>
        <item x="2"/>
        <item x="80"/>
        <item x="306"/>
        <item x="187"/>
        <item x="56"/>
        <item x="220"/>
        <item x="7"/>
        <item x="213"/>
        <item x="97"/>
        <item x="172"/>
        <item x="264"/>
        <item x="143"/>
        <item x="10"/>
        <item x="174"/>
        <item x="146"/>
        <item x="170"/>
        <item x="215"/>
        <item x="70"/>
        <item x="101"/>
        <item x="96"/>
        <item x="120"/>
        <item x="294"/>
        <item x="102"/>
        <item x="88"/>
        <item x="181"/>
        <item x="188"/>
        <item x="240"/>
        <item x="164"/>
        <item x="196"/>
        <item x="259"/>
        <item x="246"/>
        <item x="21"/>
        <item x="86"/>
        <item x="61"/>
        <item x="64"/>
        <item x="8"/>
        <item x="274"/>
        <item x="154"/>
        <item x="298"/>
        <item x="189"/>
        <item x="11"/>
        <item x="151"/>
        <item x="148"/>
        <item x="83"/>
        <item x="121"/>
        <item x="201"/>
        <item x="324"/>
        <item x="142"/>
        <item x="15"/>
        <item x="113"/>
        <item x="319"/>
        <item x="278"/>
        <item x="194"/>
        <item x="239"/>
        <item x="98"/>
        <item x="123"/>
        <item x="17"/>
        <item x="216"/>
        <item x="41"/>
        <item x="276"/>
        <item x="9"/>
        <item x="300"/>
        <item x="132"/>
        <item x="23"/>
        <item x="316"/>
        <item x="74"/>
        <item x="50"/>
        <item x="129"/>
        <item x="257"/>
        <item x="39"/>
        <item x="138"/>
        <item x="28"/>
        <item x="266"/>
        <item x="1"/>
        <item x="76"/>
        <item x="162"/>
        <item x="200"/>
        <item x="202"/>
        <item x="104"/>
        <item x="317"/>
        <item x="163"/>
        <item x="252"/>
        <item x="158"/>
        <item x="169"/>
        <item x="234"/>
        <item x="251"/>
        <item x="322"/>
        <item x="231"/>
        <item x="156"/>
        <item x="4"/>
        <item x="190"/>
        <item x="287"/>
        <item x="100"/>
        <item x="147"/>
        <item x="302"/>
        <item x="206"/>
        <item x="167"/>
        <item x="245"/>
        <item x="157"/>
        <item x="149"/>
        <item x="135"/>
        <item x="221"/>
        <item x="314"/>
        <item x="27"/>
        <item x="331"/>
        <item t="default"/>
      </items>
    </pivotField>
    <pivotField showAll="0"/>
  </pivotFields>
  <rowFields count="1">
    <field x="10"/>
  </rowFields>
  <rowItems count="6">
    <i>
      <x/>
    </i>
    <i>
      <x v="1"/>
    </i>
    <i>
      <x v="2"/>
    </i>
    <i>
      <x v="3"/>
    </i>
    <i>
      <x v="4"/>
    </i>
    <i t="grand">
      <x/>
    </i>
  </rowItems>
  <colItems count="1">
    <i/>
  </colItems>
  <dataFields count="1">
    <dataField name="Total sales by Region" fld="14"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7EF3E7-D781-4960-AC25-3FAA12C472E4}" name="PivotTable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tegory">
  <location ref="A2:B9" firstHeaderRow="1" firstDataRow="1" firstDataCol="1"/>
  <pivotFields count="16">
    <pivotField showAll="0"/>
    <pivotField showAll="0">
      <items count="6">
        <item x="0"/>
        <item x="2"/>
        <item x="4"/>
        <item x="1"/>
        <item x="3"/>
        <item t="default"/>
      </items>
    </pivotField>
    <pivotField showAll="0"/>
    <pivotField showAll="0">
      <items count="7">
        <item x="0"/>
        <item x="2"/>
        <item x="4"/>
        <item x="1"/>
        <item x="3"/>
        <item x="5"/>
        <item t="default"/>
      </items>
    </pivotField>
    <pivotField showAll="0"/>
    <pivotField showAll="0"/>
    <pivotField showAll="0"/>
    <pivotField showAll="0"/>
    <pivotField showAll="0"/>
    <pivotField showAll="0"/>
    <pivotField showAll="0"/>
    <pivotField axis="axisRow" showAll="0">
      <items count="7">
        <item x="0"/>
        <item x="2"/>
        <item x="4"/>
        <item x="1"/>
        <item x="3"/>
        <item x="5"/>
        <item t="default"/>
      </items>
    </pivotField>
    <pivotField showAll="0"/>
    <pivotField showAll="0"/>
    <pivotField dataField="1" showAll="0">
      <items count="333">
        <item x="66"/>
        <item x="182"/>
        <item x="73"/>
        <item x="315"/>
        <item x="192"/>
        <item x="127"/>
        <item x="297"/>
        <item x="161"/>
        <item x="238"/>
        <item x="140"/>
        <item x="327"/>
        <item x="46"/>
        <item x="159"/>
        <item x="12"/>
        <item x="227"/>
        <item x="134"/>
        <item x="103"/>
        <item x="77"/>
        <item x="273"/>
        <item x="325"/>
        <item x="95"/>
        <item x="214"/>
        <item x="3"/>
        <item x="166"/>
        <item x="118"/>
        <item x="260"/>
        <item x="91"/>
        <item x="171"/>
        <item x="225"/>
        <item x="152"/>
        <item x="249"/>
        <item x="296"/>
        <item x="207"/>
        <item x="6"/>
        <item x="263"/>
        <item x="236"/>
        <item x="183"/>
        <item x="272"/>
        <item x="241"/>
        <item x="313"/>
        <item x="128"/>
        <item x="255"/>
        <item x="38"/>
        <item x="14"/>
        <item x="90"/>
        <item x="218"/>
        <item x="69"/>
        <item x="81"/>
        <item x="267"/>
        <item x="185"/>
        <item x="153"/>
        <item x="31"/>
        <item x="25"/>
        <item x="289"/>
        <item x="150"/>
        <item x="68"/>
        <item x="72"/>
        <item x="291"/>
        <item x="32"/>
        <item x="107"/>
        <item x="126"/>
        <item x="155"/>
        <item x="79"/>
        <item x="85"/>
        <item x="305"/>
        <item x="281"/>
        <item x="5"/>
        <item x="29"/>
        <item x="125"/>
        <item x="40"/>
        <item x="205"/>
        <item x="117"/>
        <item x="145"/>
        <item x="283"/>
        <item x="133"/>
        <item x="136"/>
        <item x="285"/>
        <item x="22"/>
        <item x="168"/>
        <item x="112"/>
        <item x="197"/>
        <item x="258"/>
        <item x="237"/>
        <item x="230"/>
        <item x="301"/>
        <item x="224"/>
        <item x="243"/>
        <item x="110"/>
        <item x="233"/>
        <item x="51"/>
        <item x="57"/>
        <item x="326"/>
        <item x="141"/>
        <item x="328"/>
        <item x="87"/>
        <item x="229"/>
        <item x="93"/>
        <item x="176"/>
        <item x="114"/>
        <item x="320"/>
        <item x="111"/>
        <item x="307"/>
        <item x="193"/>
        <item x="219"/>
        <item x="26"/>
        <item x="293"/>
        <item x="212"/>
        <item x="312"/>
        <item x="279"/>
        <item x="262"/>
        <item x="253"/>
        <item x="268"/>
        <item x="108"/>
        <item x="223"/>
        <item x="329"/>
        <item x="303"/>
        <item x="228"/>
        <item x="109"/>
        <item x="288"/>
        <item x="92"/>
        <item x="204"/>
        <item x="49"/>
        <item x="290"/>
        <item x="19"/>
        <item x="63"/>
        <item x="37"/>
        <item x="270"/>
        <item x="105"/>
        <item x="67"/>
        <item x="280"/>
        <item x="247"/>
        <item x="54"/>
        <item x="208"/>
        <item x="211"/>
        <item x="30"/>
        <item x="52"/>
        <item x="261"/>
        <item x="130"/>
        <item x="226"/>
        <item x="0"/>
        <item x="235"/>
        <item x="60"/>
        <item x="34"/>
        <item x="265"/>
        <item x="286"/>
        <item x="318"/>
        <item x="244"/>
        <item x="131"/>
        <item x="24"/>
        <item x="13"/>
        <item x="299"/>
        <item x="65"/>
        <item x="184"/>
        <item x="210"/>
        <item x="179"/>
        <item x="295"/>
        <item x="58"/>
        <item x="321"/>
        <item x="124"/>
        <item x="311"/>
        <item x="82"/>
        <item x="99"/>
        <item x="18"/>
        <item x="275"/>
        <item x="53"/>
        <item x="191"/>
        <item x="195"/>
        <item x="209"/>
        <item x="122"/>
        <item x="304"/>
        <item x="119"/>
        <item x="33"/>
        <item x="254"/>
        <item x="256"/>
        <item x="84"/>
        <item x="310"/>
        <item x="78"/>
        <item x="106"/>
        <item x="180"/>
        <item x="175"/>
        <item x="242"/>
        <item x="269"/>
        <item x="139"/>
        <item x="248"/>
        <item x="48"/>
        <item x="55"/>
        <item x="116"/>
        <item x="309"/>
        <item x="323"/>
        <item x="203"/>
        <item x="292"/>
        <item x="217"/>
        <item x="199"/>
        <item x="250"/>
        <item x="271"/>
        <item x="42"/>
        <item x="222"/>
        <item x="62"/>
        <item x="75"/>
        <item x="173"/>
        <item x="165"/>
        <item x="45"/>
        <item x="144"/>
        <item x="284"/>
        <item x="277"/>
        <item x="89"/>
        <item x="20"/>
        <item x="47"/>
        <item x="115"/>
        <item x="44"/>
        <item x="160"/>
        <item x="137"/>
        <item x="177"/>
        <item x="94"/>
        <item x="59"/>
        <item x="330"/>
        <item x="198"/>
        <item x="71"/>
        <item x="35"/>
        <item x="232"/>
        <item x="16"/>
        <item x="186"/>
        <item x="43"/>
        <item x="36"/>
        <item x="178"/>
        <item x="282"/>
        <item x="308"/>
        <item x="2"/>
        <item x="80"/>
        <item x="306"/>
        <item x="187"/>
        <item x="56"/>
        <item x="220"/>
        <item x="7"/>
        <item x="213"/>
        <item x="97"/>
        <item x="172"/>
        <item x="264"/>
        <item x="143"/>
        <item x="10"/>
        <item x="174"/>
        <item x="146"/>
        <item x="170"/>
        <item x="215"/>
        <item x="70"/>
        <item x="101"/>
        <item x="96"/>
        <item x="120"/>
        <item x="294"/>
        <item x="102"/>
        <item x="88"/>
        <item x="181"/>
        <item x="188"/>
        <item x="240"/>
        <item x="164"/>
        <item x="196"/>
        <item x="259"/>
        <item x="246"/>
        <item x="21"/>
        <item x="86"/>
        <item x="61"/>
        <item x="64"/>
        <item x="8"/>
        <item x="274"/>
        <item x="154"/>
        <item x="298"/>
        <item x="189"/>
        <item x="11"/>
        <item x="151"/>
        <item x="148"/>
        <item x="83"/>
        <item x="121"/>
        <item x="201"/>
        <item x="324"/>
        <item x="142"/>
        <item x="15"/>
        <item x="113"/>
        <item x="319"/>
        <item x="278"/>
        <item x="194"/>
        <item x="239"/>
        <item x="98"/>
        <item x="123"/>
        <item x="17"/>
        <item x="216"/>
        <item x="41"/>
        <item x="276"/>
        <item x="9"/>
        <item x="300"/>
        <item x="132"/>
        <item x="23"/>
        <item x="316"/>
        <item x="74"/>
        <item x="50"/>
        <item x="129"/>
        <item x="257"/>
        <item x="39"/>
        <item x="138"/>
        <item x="28"/>
        <item x="266"/>
        <item x="1"/>
        <item x="76"/>
        <item x="162"/>
        <item x="200"/>
        <item x="202"/>
        <item x="104"/>
        <item x="317"/>
        <item x="163"/>
        <item x="252"/>
        <item x="158"/>
        <item x="169"/>
        <item x="234"/>
        <item x="251"/>
        <item x="322"/>
        <item x="231"/>
        <item x="156"/>
        <item x="4"/>
        <item x="190"/>
        <item x="287"/>
        <item x="100"/>
        <item x="147"/>
        <item x="302"/>
        <item x="206"/>
        <item x="167"/>
        <item x="245"/>
        <item x="157"/>
        <item x="149"/>
        <item x="135"/>
        <item x="221"/>
        <item x="314"/>
        <item x="27"/>
        <item x="331"/>
        <item t="default"/>
      </items>
    </pivotField>
    <pivotField showAll="0"/>
  </pivotFields>
  <rowFields count="1">
    <field x="11"/>
  </rowFields>
  <rowItems count="7">
    <i>
      <x/>
    </i>
    <i>
      <x v="1"/>
    </i>
    <i>
      <x v="2"/>
    </i>
    <i>
      <x v="3"/>
    </i>
    <i>
      <x v="4"/>
    </i>
    <i>
      <x v="5"/>
    </i>
    <i t="grand">
      <x/>
    </i>
  </rowItems>
  <colItems count="1">
    <i/>
  </colItems>
  <dataFields count="1">
    <dataField name="Total sales by category" fld="14" baseField="1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1B9635-90E1-4EB0-B12F-69B5C1C1BCF2}" sourceName="Region">
  <pivotTables>
    <pivotTable tabId="7" name="PivotTable4"/>
    <pivotTable tabId="7" name="PivotTable5"/>
    <pivotTable tabId="7" name="PivotTable6"/>
    <pivotTable tabId="7" name="PivotTable8"/>
  </pivotTables>
  <data>
    <tabular pivotCacheId="96666074">
      <items count="5">
        <i x="0"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4601008-0750-4B5B-8A5C-0547E051D547}" sourceName="Category">
  <pivotTables>
    <pivotTable tabId="7" name="PivotTable4"/>
  </pivotTables>
  <data>
    <tabular pivotCacheId="96666074">
      <items count="6">
        <i x="0" s="1"/>
        <i x="2" s="1"/>
        <i x="4"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7D51015-0284-4B52-BCEC-11162BFBD6EA}" cache="Slicer_Region" caption="Region" rowHeight="234950"/>
  <slicer name="Category" xr10:uid="{E33150AA-0471-4DF5-9925-FDAC87F662CC}"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BE9BDE-E687-4DA5-865B-A9D024301CF4}" name="Table2" displayName="Table2" ref="A1:J351" totalsRowShown="0" headerRowDxfId="0" dataDxfId="1" headerRowBorderDxfId="13" tableBorderDxfId="14" totalsRowBorderDxfId="12">
  <autoFilter ref="A1:J351" xr:uid="{3DBE9BDE-E687-4DA5-865B-A9D024301CF4}"/>
  <tableColumns count="10">
    <tableColumn id="1" xr3:uid="{C6585AB8-0007-4D51-8098-DD671A633385}" name="Order ID" dataDxfId="11"/>
    <tableColumn id="2" xr3:uid="{DB5C619E-495D-4C5C-AB1C-D4090E2C5292}" name="Region" dataDxfId="10"/>
    <tableColumn id="3" xr3:uid="{325A1BB4-9B99-4F87-9880-10F1327E92CC}" name="Country" dataDxfId="9"/>
    <tableColumn id="4" xr3:uid="{80E8430F-793E-4575-BA12-34C2A6D2D808}" name="Category" dataDxfId="8"/>
    <tableColumn id="5" xr3:uid="{9EC79E2B-72C4-4B16-9903-31CC4BD1B2B2}" name="Sales Channel" dataDxfId="7"/>
    <tableColumn id="6" xr3:uid="{BAAE9769-1587-46B2-8563-268E20F8D73E}" name="Order Priority" dataDxfId="6"/>
    <tableColumn id="7" xr3:uid="{079F3E53-B792-4301-BEFE-9B1C2A088C72}" name="Order Date" dataDxfId="5"/>
    <tableColumn id="8" xr3:uid="{953DC41A-E260-4A1E-9441-C5200B1A9337}" name="Units Sold" dataDxfId="4"/>
    <tableColumn id="9" xr3:uid="{060AD9DF-7D59-4BAB-998E-50D4FAB244EA}" name="Unit Price" dataDxfId="3"/>
    <tableColumn id="10" xr3:uid="{43766C88-FB92-42D7-97FB-5307FA5BCBDF}" name="Unit Cost"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 dockstate="right" visibility="0" width="438" row="4">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CC3210C-4B33-4F5F-89B4-69627937022F}">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DCFF1A4D-E4F1-429C-8F8A-9EB9F58D836A}">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F6321-67A5-40C6-B161-55B787D18A90}">
  <dimension ref="A1:G34"/>
  <sheetViews>
    <sheetView workbookViewId="0">
      <selection activeCell="A32" sqref="A32"/>
    </sheetView>
  </sheetViews>
  <sheetFormatPr defaultRowHeight="14.4" x14ac:dyDescent="0.3"/>
  <cols>
    <col min="1" max="1" width="31.88671875" customWidth="1"/>
    <col min="2" max="2" width="15.5546875" bestFit="1" customWidth="1"/>
    <col min="3" max="3" width="5.88671875" bestFit="1" customWidth="1"/>
    <col min="4" max="4" width="6" bestFit="1" customWidth="1"/>
    <col min="5" max="5" width="5.21875" bestFit="1" customWidth="1"/>
    <col min="6" max="6" width="7" bestFit="1" customWidth="1"/>
    <col min="7" max="7" width="10.77734375" bestFit="1" customWidth="1"/>
  </cols>
  <sheetData>
    <row r="1" spans="1:2" x14ac:dyDescent="0.3">
      <c r="A1" s="12" t="s">
        <v>397</v>
      </c>
      <c r="B1" t="s">
        <v>400</v>
      </c>
    </row>
    <row r="2" spans="1:2" x14ac:dyDescent="0.3">
      <c r="A2" s="13" t="s">
        <v>11</v>
      </c>
      <c r="B2" s="14">
        <v>25441.372307692312</v>
      </c>
    </row>
    <row r="3" spans="1:2" x14ac:dyDescent="0.3">
      <c r="A3" s="13" t="s">
        <v>22</v>
      </c>
      <c r="B3" s="14">
        <v>29128.169743589729</v>
      </c>
    </row>
    <row r="4" spans="1:2" x14ac:dyDescent="0.3">
      <c r="A4" s="13" t="s">
        <v>48</v>
      </c>
      <c r="B4" s="14">
        <v>27442.176133333338</v>
      </c>
    </row>
    <row r="5" spans="1:2" x14ac:dyDescent="0.3">
      <c r="A5" s="13" t="s">
        <v>17</v>
      </c>
      <c r="B5" s="14">
        <v>23523.964270833327</v>
      </c>
    </row>
    <row r="6" spans="1:2" x14ac:dyDescent="0.3">
      <c r="A6" s="13" t="s">
        <v>398</v>
      </c>
      <c r="B6" s="14">
        <v>7099.4019999999991</v>
      </c>
    </row>
    <row r="7" spans="1:2" x14ac:dyDescent="0.3">
      <c r="A7" s="13" t="s">
        <v>399</v>
      </c>
      <c r="B7" s="14">
        <v>25641.771199999985</v>
      </c>
    </row>
    <row r="26" spans="1:7" x14ac:dyDescent="0.3">
      <c r="A26" s="12" t="s">
        <v>471</v>
      </c>
      <c r="B26" s="12" t="s">
        <v>1</v>
      </c>
    </row>
    <row r="27" spans="1:7" x14ac:dyDescent="0.3">
      <c r="A27" s="12" t="s">
        <v>3</v>
      </c>
      <c r="B27" t="s">
        <v>11</v>
      </c>
      <c r="C27" t="s">
        <v>22</v>
      </c>
      <c r="D27" t="s">
        <v>48</v>
      </c>
      <c r="E27" t="s">
        <v>17</v>
      </c>
      <c r="F27" t="s">
        <v>398</v>
      </c>
      <c r="G27" t="s">
        <v>399</v>
      </c>
    </row>
    <row r="28" spans="1:7" x14ac:dyDescent="0.3">
      <c r="A28" s="13" t="s">
        <v>13</v>
      </c>
      <c r="B28" s="14">
        <v>15</v>
      </c>
      <c r="C28" s="14">
        <v>18</v>
      </c>
      <c r="D28" s="14">
        <v>17</v>
      </c>
      <c r="E28" s="14">
        <v>23</v>
      </c>
      <c r="F28" s="14"/>
      <c r="G28" s="14">
        <v>73</v>
      </c>
    </row>
    <row r="29" spans="1:7" x14ac:dyDescent="0.3">
      <c r="A29" s="13" t="s">
        <v>23</v>
      </c>
      <c r="B29" s="14">
        <v>23</v>
      </c>
      <c r="C29" s="14">
        <v>11</v>
      </c>
      <c r="D29" s="14">
        <v>10</v>
      </c>
      <c r="E29" s="14">
        <v>24</v>
      </c>
      <c r="F29" s="14"/>
      <c r="G29" s="14">
        <v>68</v>
      </c>
    </row>
    <row r="30" spans="1:7" x14ac:dyDescent="0.3">
      <c r="A30" s="13" t="s">
        <v>42</v>
      </c>
      <c r="B30" s="14">
        <v>15</v>
      </c>
      <c r="C30" s="14">
        <v>16</v>
      </c>
      <c r="D30" s="14">
        <v>21</v>
      </c>
      <c r="E30" s="14">
        <v>20</v>
      </c>
      <c r="F30" s="14"/>
      <c r="G30" s="14">
        <v>72</v>
      </c>
    </row>
    <row r="31" spans="1:7" x14ac:dyDescent="0.3">
      <c r="A31" s="13" t="s">
        <v>19</v>
      </c>
      <c r="B31" s="14">
        <v>19</v>
      </c>
      <c r="C31" s="14">
        <v>18</v>
      </c>
      <c r="D31" s="14">
        <v>14</v>
      </c>
      <c r="E31" s="14">
        <v>16</v>
      </c>
      <c r="F31" s="14"/>
      <c r="G31" s="14">
        <v>67</v>
      </c>
    </row>
    <row r="32" spans="1:7" x14ac:dyDescent="0.3">
      <c r="A32" s="13" t="s">
        <v>27</v>
      </c>
      <c r="B32" s="14">
        <v>28</v>
      </c>
      <c r="C32" s="14">
        <v>15</v>
      </c>
      <c r="D32" s="14">
        <v>14</v>
      </c>
      <c r="E32" s="14">
        <v>13</v>
      </c>
      <c r="F32" s="14"/>
      <c r="G32" s="14">
        <v>70</v>
      </c>
    </row>
    <row r="33" spans="1:7" x14ac:dyDescent="0.3">
      <c r="A33" s="13" t="s">
        <v>398</v>
      </c>
      <c r="B33" s="14"/>
      <c r="C33" s="14"/>
      <c r="D33" s="14"/>
      <c r="E33" s="14"/>
      <c r="F33" s="14"/>
      <c r="G33" s="14"/>
    </row>
    <row r="34" spans="1:7" x14ac:dyDescent="0.3">
      <c r="A34" s="13" t="s">
        <v>399</v>
      </c>
      <c r="B34" s="14">
        <v>100</v>
      </c>
      <c r="C34" s="14">
        <v>78</v>
      </c>
      <c r="D34" s="14">
        <v>76</v>
      </c>
      <c r="E34" s="14">
        <v>96</v>
      </c>
      <c r="F34" s="14"/>
      <c r="G34" s="14">
        <v>350</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C144-9A2C-402F-A9F1-CCC0D10B265E}">
  <dimension ref="A1:P351"/>
  <sheetViews>
    <sheetView zoomScale="115" zoomScaleNormal="115" workbookViewId="0">
      <pane ySplit="1" topLeftCell="A2" activePane="bottomLeft" state="frozen"/>
      <selection pane="bottomLeft" activeCell="B16" sqref="B16"/>
    </sheetView>
  </sheetViews>
  <sheetFormatPr defaultColWidth="18.21875" defaultRowHeight="14.4" x14ac:dyDescent="0.3"/>
  <cols>
    <col min="11" max="11" width="20" customWidth="1"/>
    <col min="12" max="12" width="20.6640625" customWidth="1"/>
    <col min="13" max="13" width="21.33203125" customWidth="1"/>
    <col min="14" max="14" width="22.88671875" customWidth="1"/>
  </cols>
  <sheetData>
    <row r="1" spans="1:16" ht="15" thickBot="1" x14ac:dyDescent="0.35">
      <c r="A1" s="7" t="s">
        <v>0</v>
      </c>
      <c r="B1" s="8" t="s">
        <v>1</v>
      </c>
      <c r="C1" s="8" t="s">
        <v>2</v>
      </c>
      <c r="D1" s="8" t="s">
        <v>3</v>
      </c>
      <c r="E1" s="8" t="s">
        <v>4</v>
      </c>
      <c r="F1" s="8" t="s">
        <v>5</v>
      </c>
      <c r="G1" s="8" t="s">
        <v>6</v>
      </c>
      <c r="H1" s="8" t="s">
        <v>7</v>
      </c>
      <c r="I1" s="8" t="s">
        <v>8</v>
      </c>
      <c r="J1" s="8" t="s">
        <v>9</v>
      </c>
      <c r="K1" t="s">
        <v>382</v>
      </c>
      <c r="L1" t="s">
        <v>383</v>
      </c>
      <c r="M1" t="s">
        <v>384</v>
      </c>
      <c r="N1" t="s">
        <v>386</v>
      </c>
      <c r="O1" t="s">
        <v>392</v>
      </c>
      <c r="P1" t="s">
        <v>396</v>
      </c>
    </row>
    <row r="2" spans="1:16" ht="15" thickBot="1" x14ac:dyDescent="0.35">
      <c r="A2" s="1" t="s">
        <v>10</v>
      </c>
      <c r="B2" s="1" t="s">
        <v>11</v>
      </c>
      <c r="C2" s="1" t="s">
        <v>12</v>
      </c>
      <c r="D2" s="1" t="s">
        <v>13</v>
      </c>
      <c r="E2" s="1" t="s">
        <v>14</v>
      </c>
      <c r="F2" s="1" t="s">
        <v>15</v>
      </c>
      <c r="G2" s="2">
        <v>44927</v>
      </c>
      <c r="H2" s="3">
        <v>235</v>
      </c>
      <c r="I2" s="3">
        <v>152.91999999999999</v>
      </c>
      <c r="J2" s="3">
        <v>153.6</v>
      </c>
      <c r="K2" t="str">
        <f>IF(B2="", VLOOKUP(C2, Mapping!A:B, 2, FALSE), B2)</f>
        <v>East</v>
      </c>
      <c r="L2" t="str">
        <f>IF(D2="", IF(H2&lt;100,"Clothing", IF(H2&lt;=250,"Food", IF(H2&lt;=400,"Furniture","Electronics"))), D2)</f>
        <v>Beverages</v>
      </c>
      <c r="M2">
        <f>IF(H2="", AVERAGEIF(Dataset!D:D, D2, Dataset!H:H), H2)</f>
        <v>235</v>
      </c>
      <c r="N2">
        <f>IF(I2="", AVERAGEIF(Dataset!D:D, D2, Dataset!I:I), I2)</f>
        <v>152.91999999999999</v>
      </c>
      <c r="O2">
        <f>IF(OR(H2="",I2=""),"",H2*I2)</f>
        <v>35936.199999999997</v>
      </c>
      <c r="P2">
        <f>MAX(0, H2*(I2-J2))</f>
        <v>0</v>
      </c>
    </row>
    <row r="3" spans="1:16" ht="15" thickBot="1" x14ac:dyDescent="0.35">
      <c r="A3" s="1" t="s">
        <v>16</v>
      </c>
      <c r="B3" s="1" t="s">
        <v>17</v>
      </c>
      <c r="C3" s="1" t="s">
        <v>18</v>
      </c>
      <c r="D3" s="1" t="s">
        <v>19</v>
      </c>
      <c r="E3" s="1" t="s">
        <v>14</v>
      </c>
      <c r="F3" s="1" t="s">
        <v>20</v>
      </c>
      <c r="G3" s="2">
        <v>44928</v>
      </c>
      <c r="H3" s="3">
        <v>341</v>
      </c>
      <c r="I3" s="3">
        <v>467.92</v>
      </c>
      <c r="J3" s="3">
        <v>139.84</v>
      </c>
      <c r="K3" t="str">
        <f>IF(B3="", VLOOKUP(C3, Mapping!A:B, 2, FALSE), B3)</f>
        <v>West</v>
      </c>
      <c r="L3" t="str">
        <f t="shared" ref="L3:L66" si="0">IF(D3="", IF(H3&lt;100,"Clothing", IF(H3&lt;=250,"Food", IF(H3&lt;=400,"Furniture","Electronics"))), D3)</f>
        <v>Food</v>
      </c>
      <c r="M3">
        <f>IF(H3="", AVERAGEIF(Dataset!D:D, D3, Dataset!H:H), H3)</f>
        <v>341</v>
      </c>
      <c r="N3">
        <f>IF(I3="", AVERAGEIF(Dataset!D:D, D3, Dataset!I:I), I3)</f>
        <v>467.92</v>
      </c>
      <c r="O3">
        <f t="shared" ref="O3:O66" si="1">IF(OR(H3="",I3=""),"",H3*I3)</f>
        <v>159560.72</v>
      </c>
      <c r="P3">
        <f t="shared" ref="P3:P66" si="2">MAX(0, H3*(I3-J3))</f>
        <v>111875.28000000001</v>
      </c>
    </row>
    <row r="4" spans="1:16" ht="15" thickBot="1" x14ac:dyDescent="0.35">
      <c r="A4" s="1" t="s">
        <v>21</v>
      </c>
      <c r="B4" s="1" t="s">
        <v>22</v>
      </c>
      <c r="C4" s="1" t="s">
        <v>18</v>
      </c>
      <c r="D4" s="1" t="s">
        <v>23</v>
      </c>
      <c r="E4" s="1" t="s">
        <v>24</v>
      </c>
      <c r="F4" s="1" t="s">
        <v>15</v>
      </c>
      <c r="G4" s="2">
        <v>44929</v>
      </c>
      <c r="H4" s="3">
        <v>179</v>
      </c>
      <c r="I4" s="3">
        <v>473.94</v>
      </c>
      <c r="J4" s="3">
        <v>97.14</v>
      </c>
      <c r="K4" t="str">
        <f>IF(B4="", VLOOKUP(C4, Mapping!A:B, 2, FALSE), B4)</f>
        <v>North</v>
      </c>
      <c r="L4" t="str">
        <f t="shared" si="0"/>
        <v>Clothing</v>
      </c>
      <c r="M4">
        <f>IF(H4="", AVERAGEIF(Dataset!D:D, D4, Dataset!H:H), H4)</f>
        <v>179</v>
      </c>
      <c r="N4">
        <f>IF(I4="", AVERAGEIF(Dataset!D:D, D4, Dataset!I:I), I4)</f>
        <v>473.94</v>
      </c>
      <c r="O4">
        <f t="shared" si="1"/>
        <v>84835.26</v>
      </c>
      <c r="P4">
        <f t="shared" si="2"/>
        <v>67447.199999999997</v>
      </c>
    </row>
    <row r="5" spans="1:16" ht="15" thickBot="1" x14ac:dyDescent="0.35">
      <c r="A5" s="1" t="s">
        <v>25</v>
      </c>
      <c r="B5" s="1" t="s">
        <v>11</v>
      </c>
      <c r="C5" s="1" t="s">
        <v>26</v>
      </c>
      <c r="D5" s="1" t="s">
        <v>27</v>
      </c>
      <c r="E5" s="1" t="s">
        <v>24</v>
      </c>
      <c r="F5" s="1" t="s">
        <v>28</v>
      </c>
      <c r="G5" s="2">
        <v>44930</v>
      </c>
      <c r="H5" s="3">
        <v>18</v>
      </c>
      <c r="I5" s="3">
        <v>314.52999999999997</v>
      </c>
      <c r="J5" s="3">
        <v>204.87</v>
      </c>
      <c r="K5" t="str">
        <f>IF(B5="", VLOOKUP(C5, Mapping!A:B, 2, FALSE), B5)</f>
        <v>East</v>
      </c>
      <c r="L5" t="str">
        <f t="shared" si="0"/>
        <v>Furniture</v>
      </c>
      <c r="M5">
        <f>IF(H5="", AVERAGEIF(Dataset!D:D, D5, Dataset!H:H), H5)</f>
        <v>18</v>
      </c>
      <c r="N5">
        <f>IF(I5="", AVERAGEIF(Dataset!D:D, D5, Dataset!I:I), I5)</f>
        <v>314.52999999999997</v>
      </c>
      <c r="O5">
        <f t="shared" si="1"/>
        <v>5661.5399999999991</v>
      </c>
      <c r="P5">
        <f t="shared" si="2"/>
        <v>1973.8799999999994</v>
      </c>
    </row>
    <row r="6" spans="1:16" ht="15" thickBot="1" x14ac:dyDescent="0.35">
      <c r="A6" s="1" t="s">
        <v>29</v>
      </c>
      <c r="B6" s="1" t="s">
        <v>11</v>
      </c>
      <c r="C6" s="1" t="s">
        <v>18</v>
      </c>
      <c r="D6" s="1" t="s">
        <v>27</v>
      </c>
      <c r="E6" s="1" t="s">
        <v>24</v>
      </c>
      <c r="F6" s="1" t="s">
        <v>28</v>
      </c>
      <c r="G6" s="2">
        <v>44931</v>
      </c>
      <c r="H6" s="3">
        <v>472</v>
      </c>
      <c r="I6" s="3">
        <v>392.79</v>
      </c>
      <c r="J6" s="3">
        <v>330.46</v>
      </c>
      <c r="K6" t="str">
        <f>IF(B6="", VLOOKUP(C6, Mapping!A:B, 2, FALSE), B6)</f>
        <v>East</v>
      </c>
      <c r="L6" t="str">
        <f t="shared" si="0"/>
        <v>Furniture</v>
      </c>
      <c r="M6">
        <f>IF(H6="", AVERAGEIF(Dataset!D:D, D6, Dataset!H:H), H6)</f>
        <v>472</v>
      </c>
      <c r="N6">
        <f>IF(I6="", AVERAGEIF(Dataset!D:D, D6, Dataset!I:I), I6)</f>
        <v>392.79</v>
      </c>
      <c r="O6">
        <f t="shared" si="1"/>
        <v>185396.88</v>
      </c>
      <c r="P6">
        <f t="shared" si="2"/>
        <v>29419.76000000002</v>
      </c>
    </row>
    <row r="7" spans="1:16" ht="15" thickBot="1" x14ac:dyDescent="0.35">
      <c r="A7" s="1" t="s">
        <v>30</v>
      </c>
      <c r="B7" s="1" t="s">
        <v>17</v>
      </c>
      <c r="C7" s="1" t="s">
        <v>31</v>
      </c>
      <c r="D7" s="1" t="s">
        <v>23</v>
      </c>
      <c r="E7" s="1" t="s">
        <v>14</v>
      </c>
      <c r="F7" s="1" t="s">
        <v>15</v>
      </c>
      <c r="G7" s="2">
        <v>44932</v>
      </c>
      <c r="H7" s="3">
        <v>49</v>
      </c>
      <c r="I7" s="3">
        <v>308.07</v>
      </c>
      <c r="J7" s="3">
        <v>113.32</v>
      </c>
      <c r="K7" t="str">
        <f>IF(B7="", VLOOKUP(C7, Mapping!A:B, 2, FALSE), B7)</f>
        <v>West</v>
      </c>
      <c r="L7" t="str">
        <f t="shared" si="0"/>
        <v>Clothing</v>
      </c>
      <c r="M7">
        <f>IF(H7="", AVERAGEIF(Dataset!D:D, D7, Dataset!H:H), H7)</f>
        <v>49</v>
      </c>
      <c r="N7">
        <f>IF(I7="", AVERAGEIF(Dataset!D:D, D7, Dataset!I:I), I7)</f>
        <v>308.07</v>
      </c>
      <c r="O7">
        <f t="shared" si="1"/>
        <v>15095.43</v>
      </c>
      <c r="P7">
        <f t="shared" si="2"/>
        <v>9542.75</v>
      </c>
    </row>
    <row r="8" spans="1:16" ht="15" thickBot="1" x14ac:dyDescent="0.35">
      <c r="A8" s="1" t="s">
        <v>32</v>
      </c>
      <c r="B8" s="1" t="s">
        <v>22</v>
      </c>
      <c r="C8" s="1" t="s">
        <v>12</v>
      </c>
      <c r="D8" s="1" t="s">
        <v>23</v>
      </c>
      <c r="E8" s="1" t="s">
        <v>14</v>
      </c>
      <c r="F8" s="1" t="s">
        <v>20</v>
      </c>
      <c r="G8" s="2">
        <v>44933</v>
      </c>
      <c r="H8" s="3">
        <v>34</v>
      </c>
      <c r="I8" s="3">
        <v>244.78</v>
      </c>
      <c r="J8" s="3">
        <v>377.07</v>
      </c>
      <c r="K8" t="str">
        <f>IF(B8="", VLOOKUP(C8, Mapping!A:B, 2, FALSE), B8)</f>
        <v>North</v>
      </c>
      <c r="L8" t="str">
        <f t="shared" si="0"/>
        <v>Clothing</v>
      </c>
      <c r="M8">
        <f>IF(H8="", AVERAGEIF(Dataset!D:D, D8, Dataset!H:H), H8)</f>
        <v>34</v>
      </c>
      <c r="N8">
        <f>IF(I8="", AVERAGEIF(Dataset!D:D, D8, Dataset!I:I), I8)</f>
        <v>244.78</v>
      </c>
      <c r="O8">
        <f t="shared" si="1"/>
        <v>8322.52</v>
      </c>
      <c r="P8">
        <f t="shared" si="2"/>
        <v>0</v>
      </c>
    </row>
    <row r="9" spans="1:16" ht="29.4" thickBot="1" x14ac:dyDescent="0.35">
      <c r="A9" s="1" t="s">
        <v>33</v>
      </c>
      <c r="B9" s="1" t="s">
        <v>22</v>
      </c>
      <c r="C9" s="1" t="s">
        <v>18</v>
      </c>
      <c r="D9" s="1" t="s">
        <v>13</v>
      </c>
      <c r="E9" s="1" t="s">
        <v>14</v>
      </c>
      <c r="F9" s="1" t="s">
        <v>15</v>
      </c>
      <c r="G9" s="2">
        <v>44934</v>
      </c>
      <c r="H9" s="3">
        <v>270</v>
      </c>
      <c r="I9" s="3">
        <v>332.11</v>
      </c>
      <c r="J9" s="3">
        <v>349.59</v>
      </c>
      <c r="K9" t="str">
        <f>IF(B9="", VLOOKUP(C9, Mapping!A:B, 2, FALSE), B9)</f>
        <v>North</v>
      </c>
      <c r="L9" t="str">
        <f t="shared" si="0"/>
        <v>Beverages</v>
      </c>
      <c r="M9">
        <f>IF(H9="", AVERAGEIF(Dataset!D:D, D9, Dataset!H:H), H9)</f>
        <v>270</v>
      </c>
      <c r="N9">
        <f>IF(I9="", AVERAGEIF(Dataset!D:D, D9, Dataset!I:I), I9)</f>
        <v>332.11</v>
      </c>
      <c r="O9">
        <f t="shared" si="1"/>
        <v>89669.7</v>
      </c>
      <c r="P9">
        <f t="shared" si="2"/>
        <v>0</v>
      </c>
    </row>
    <row r="10" spans="1:16" ht="29.4" thickBot="1" x14ac:dyDescent="0.35">
      <c r="A10" s="1" t="s">
        <v>34</v>
      </c>
      <c r="B10" s="1" t="s">
        <v>11</v>
      </c>
      <c r="C10" s="1" t="s">
        <v>18</v>
      </c>
      <c r="D10" s="1" t="s">
        <v>13</v>
      </c>
      <c r="E10" s="1" t="s">
        <v>14</v>
      </c>
      <c r="F10" s="1" t="s">
        <v>20</v>
      </c>
      <c r="G10" s="2">
        <v>44935</v>
      </c>
      <c r="H10" s="3">
        <v>404</v>
      </c>
      <c r="I10" s="3">
        <v>278.74</v>
      </c>
      <c r="J10" s="3">
        <v>66.38</v>
      </c>
      <c r="K10" t="str">
        <f>IF(B10="", VLOOKUP(C10, Mapping!A:B, 2, FALSE), B10)</f>
        <v>East</v>
      </c>
      <c r="L10" t="str">
        <f t="shared" si="0"/>
        <v>Beverages</v>
      </c>
      <c r="M10">
        <f>IF(H10="", AVERAGEIF(Dataset!D:D, D10, Dataset!H:H), H10)</f>
        <v>404</v>
      </c>
      <c r="N10">
        <f>IF(I10="", AVERAGEIF(Dataset!D:D, D10, Dataset!I:I), I10)</f>
        <v>278.74</v>
      </c>
      <c r="O10">
        <f t="shared" si="1"/>
        <v>112610.96</v>
      </c>
      <c r="P10">
        <f t="shared" si="2"/>
        <v>85793.44</v>
      </c>
    </row>
    <row r="11" spans="1:16" ht="15" thickBot="1" x14ac:dyDescent="0.35">
      <c r="A11" s="1" t="s">
        <v>35</v>
      </c>
      <c r="B11" s="1"/>
      <c r="C11" s="1" t="s">
        <v>26</v>
      </c>
      <c r="D11" s="1" t="s">
        <v>27</v>
      </c>
      <c r="E11" s="1" t="s">
        <v>14</v>
      </c>
      <c r="F11" s="1" t="s">
        <v>28</v>
      </c>
      <c r="G11" s="2">
        <v>44936</v>
      </c>
      <c r="H11" s="3">
        <v>452</v>
      </c>
      <c r="I11" s="3">
        <v>300.75</v>
      </c>
      <c r="J11" s="3">
        <v>314.94</v>
      </c>
      <c r="K11" t="str">
        <f>IF(B11="", VLOOKUP(C11, Mapping!A:B, 2, FALSE), B11)</f>
        <v>East</v>
      </c>
      <c r="L11" t="str">
        <f t="shared" si="0"/>
        <v>Furniture</v>
      </c>
      <c r="M11">
        <f>IF(H11="", AVERAGEIF(Dataset!D:D, D11, Dataset!H:H), H11)</f>
        <v>452</v>
      </c>
      <c r="N11">
        <f>IF(I11="", AVERAGEIF(Dataset!D:D, D11, Dataset!I:I), I11)</f>
        <v>300.75</v>
      </c>
      <c r="O11">
        <f t="shared" si="1"/>
        <v>135939</v>
      </c>
      <c r="P11">
        <f t="shared" si="2"/>
        <v>0</v>
      </c>
    </row>
    <row r="12" spans="1:16" ht="15" thickBot="1" x14ac:dyDescent="0.35">
      <c r="A12" s="1" t="s">
        <v>36</v>
      </c>
      <c r="B12" s="1" t="s">
        <v>11</v>
      </c>
      <c r="C12" s="1" t="s">
        <v>26</v>
      </c>
      <c r="D12" s="1" t="s">
        <v>19</v>
      </c>
      <c r="E12" s="1" t="s">
        <v>14</v>
      </c>
      <c r="F12" s="1" t="s">
        <v>20</v>
      </c>
      <c r="G12" s="2">
        <v>44937</v>
      </c>
      <c r="H12" s="3">
        <v>235</v>
      </c>
      <c r="I12" s="3">
        <v>393</v>
      </c>
      <c r="J12" s="3">
        <v>230.69</v>
      </c>
      <c r="K12" t="str">
        <f>IF(B12="", VLOOKUP(C12, Mapping!A:B, 2, FALSE), B12)</f>
        <v>East</v>
      </c>
      <c r="L12" t="str">
        <f t="shared" si="0"/>
        <v>Food</v>
      </c>
      <c r="M12">
        <f>IF(H12="", AVERAGEIF(Dataset!D:D, D12, Dataset!H:H), H12)</f>
        <v>235</v>
      </c>
      <c r="N12">
        <f>IF(I12="", AVERAGEIF(Dataset!D:D, D12, Dataset!I:I), I12)</f>
        <v>393</v>
      </c>
      <c r="O12">
        <f t="shared" si="1"/>
        <v>92355</v>
      </c>
      <c r="P12">
        <f t="shared" si="2"/>
        <v>38142.85</v>
      </c>
    </row>
    <row r="13" spans="1:16" ht="15" thickBot="1" x14ac:dyDescent="0.35">
      <c r="A13" s="1" t="s">
        <v>37</v>
      </c>
      <c r="B13" s="1" t="s">
        <v>11</v>
      </c>
      <c r="C13" s="1" t="s">
        <v>31</v>
      </c>
      <c r="D13" s="1" t="s">
        <v>27</v>
      </c>
      <c r="E13" s="1" t="s">
        <v>24</v>
      </c>
      <c r="F13" s="1" t="s">
        <v>28</v>
      </c>
      <c r="G13" s="2">
        <v>44938</v>
      </c>
      <c r="H13" s="3">
        <v>481</v>
      </c>
      <c r="I13" s="3">
        <v>243.05</v>
      </c>
      <c r="J13" s="3">
        <v>227.5</v>
      </c>
      <c r="K13" t="str">
        <f>IF(B13="", VLOOKUP(C13, Mapping!A:B, 2, FALSE), B13)</f>
        <v>East</v>
      </c>
      <c r="L13" t="str">
        <f t="shared" si="0"/>
        <v>Furniture</v>
      </c>
      <c r="M13">
        <f>IF(H13="", AVERAGEIF(Dataset!D:D, D13, Dataset!H:H), H13)</f>
        <v>481</v>
      </c>
      <c r="N13">
        <f>IF(I13="", AVERAGEIF(Dataset!D:D, D13, Dataset!I:I), I13)</f>
        <v>243.05</v>
      </c>
      <c r="O13">
        <f t="shared" si="1"/>
        <v>116907.05</v>
      </c>
      <c r="P13">
        <f t="shared" si="2"/>
        <v>7479.5500000000056</v>
      </c>
    </row>
    <row r="14" spans="1:16" ht="15" thickBot="1" x14ac:dyDescent="0.35">
      <c r="A14" s="1" t="s">
        <v>38</v>
      </c>
      <c r="B14" s="1" t="s">
        <v>11</v>
      </c>
      <c r="C14" s="1" t="s">
        <v>12</v>
      </c>
      <c r="D14" s="1" t="s">
        <v>19</v>
      </c>
      <c r="E14" s="1" t="s">
        <v>24</v>
      </c>
      <c r="F14" s="1" t="s">
        <v>20</v>
      </c>
      <c r="G14" s="2">
        <v>44939</v>
      </c>
      <c r="H14" s="3">
        <v>133</v>
      </c>
      <c r="I14" s="3">
        <v>25.17</v>
      </c>
      <c r="J14" s="3">
        <v>157.63999999999999</v>
      </c>
      <c r="K14" t="str">
        <f>IF(B14="", VLOOKUP(C14, Mapping!A:B, 2, FALSE), B14)</f>
        <v>East</v>
      </c>
      <c r="L14" t="str">
        <f t="shared" si="0"/>
        <v>Food</v>
      </c>
      <c r="M14">
        <f>IF(H14="", AVERAGEIF(Dataset!D:D, D14, Dataset!H:H), H14)</f>
        <v>133</v>
      </c>
      <c r="N14">
        <f>IF(I14="", AVERAGEIF(Dataset!D:D, D14, Dataset!I:I), I14)</f>
        <v>25.17</v>
      </c>
      <c r="O14">
        <f t="shared" si="1"/>
        <v>3347.61</v>
      </c>
      <c r="P14">
        <f t="shared" si="2"/>
        <v>0</v>
      </c>
    </row>
    <row r="15" spans="1:16" ht="15" thickBot="1" x14ac:dyDescent="0.35">
      <c r="A15" s="1" t="s">
        <v>39</v>
      </c>
      <c r="B15" s="1" t="s">
        <v>11</v>
      </c>
      <c r="C15" s="1" t="s">
        <v>26</v>
      </c>
      <c r="D15" s="1" t="s">
        <v>19</v>
      </c>
      <c r="E15" s="1" t="s">
        <v>24</v>
      </c>
      <c r="F15" s="1" t="s">
        <v>20</v>
      </c>
      <c r="G15" s="2">
        <v>44940</v>
      </c>
      <c r="H15" s="3">
        <v>472</v>
      </c>
      <c r="I15" s="3">
        <v>86.18</v>
      </c>
      <c r="J15" s="3">
        <v>201.46</v>
      </c>
      <c r="K15" t="str">
        <f>IF(B15="", VLOOKUP(C15, Mapping!A:B, 2, FALSE), B15)</f>
        <v>East</v>
      </c>
      <c r="L15" t="str">
        <f t="shared" si="0"/>
        <v>Food</v>
      </c>
      <c r="M15">
        <f>IF(H15="", AVERAGEIF(Dataset!D:D, D15, Dataset!H:H), H15)</f>
        <v>472</v>
      </c>
      <c r="N15">
        <f>IF(I15="", AVERAGEIF(Dataset!D:D, D15, Dataset!I:I), I15)</f>
        <v>86.18</v>
      </c>
      <c r="O15">
        <f t="shared" si="1"/>
        <v>40676.960000000006</v>
      </c>
      <c r="P15">
        <f t="shared" si="2"/>
        <v>0</v>
      </c>
    </row>
    <row r="16" spans="1:16" ht="29.4" thickBot="1" x14ac:dyDescent="0.35">
      <c r="A16" s="1" t="s">
        <v>40</v>
      </c>
      <c r="B16" s="1" t="s">
        <v>17</v>
      </c>
      <c r="C16" s="1" t="s">
        <v>18</v>
      </c>
      <c r="D16" s="1" t="s">
        <v>13</v>
      </c>
      <c r="E16" s="1" t="s">
        <v>24</v>
      </c>
      <c r="F16" s="1" t="s">
        <v>20</v>
      </c>
      <c r="G16" s="2">
        <v>44941</v>
      </c>
      <c r="H16" s="3">
        <v>47</v>
      </c>
      <c r="I16" s="3">
        <v>222.11</v>
      </c>
      <c r="J16" s="3">
        <v>160.08000000000001</v>
      </c>
      <c r="K16" t="str">
        <f>IF(B16="", VLOOKUP(C16, Mapping!A:B, 2, FALSE), B16)</f>
        <v>West</v>
      </c>
      <c r="L16" t="str">
        <f t="shared" si="0"/>
        <v>Beverages</v>
      </c>
      <c r="M16">
        <f>IF(H16="", AVERAGEIF(Dataset!D:D, D16, Dataset!H:H), H16)</f>
        <v>47</v>
      </c>
      <c r="N16">
        <f>IF(I16="", AVERAGEIF(Dataset!D:D, D16, Dataset!I:I), I16)</f>
        <v>222.11</v>
      </c>
      <c r="O16">
        <f t="shared" si="1"/>
        <v>10439.17</v>
      </c>
      <c r="P16">
        <f t="shared" si="2"/>
        <v>2915.41</v>
      </c>
    </row>
    <row r="17" spans="1:16" ht="29.4" thickBot="1" x14ac:dyDescent="0.35">
      <c r="A17" s="1" t="s">
        <v>41</v>
      </c>
      <c r="B17" s="1" t="s">
        <v>22</v>
      </c>
      <c r="C17" s="1" t="s">
        <v>12</v>
      </c>
      <c r="D17" s="1" t="s">
        <v>42</v>
      </c>
      <c r="E17" s="1" t="s">
        <v>14</v>
      </c>
      <c r="F17" s="1" t="s">
        <v>15</v>
      </c>
      <c r="G17" s="2">
        <v>44942</v>
      </c>
      <c r="H17" s="3">
        <v>337</v>
      </c>
      <c r="I17" s="3">
        <v>363.79</v>
      </c>
      <c r="J17" s="3">
        <v>216.81</v>
      </c>
      <c r="K17" t="str">
        <f>IF(B17="", VLOOKUP(C17, Mapping!A:B, 2, FALSE), B17)</f>
        <v>North</v>
      </c>
      <c r="L17" t="str">
        <f t="shared" si="0"/>
        <v>Electronics</v>
      </c>
      <c r="M17">
        <f>IF(H17="", AVERAGEIF(Dataset!D:D, D17, Dataset!H:H), H17)</f>
        <v>337</v>
      </c>
      <c r="N17">
        <f>IF(I17="", AVERAGEIF(Dataset!D:D, D17, Dataset!I:I), I17)</f>
        <v>363.79</v>
      </c>
      <c r="O17">
        <f t="shared" si="1"/>
        <v>122597.23000000001</v>
      </c>
      <c r="P17">
        <f t="shared" si="2"/>
        <v>49532.260000000009</v>
      </c>
    </row>
    <row r="18" spans="1:16" ht="29.4" thickBot="1" x14ac:dyDescent="0.35">
      <c r="A18" s="1" t="s">
        <v>43</v>
      </c>
      <c r="B18" s="1" t="s">
        <v>17</v>
      </c>
      <c r="C18" s="1" t="s">
        <v>12</v>
      </c>
      <c r="D18" s="1" t="s">
        <v>42</v>
      </c>
      <c r="E18" s="1" t="s">
        <v>14</v>
      </c>
      <c r="F18" s="1" t="s">
        <v>15</v>
      </c>
      <c r="G18" s="2">
        <v>44943</v>
      </c>
      <c r="H18" s="3">
        <v>260</v>
      </c>
      <c r="I18" s="3">
        <v>298.67</v>
      </c>
      <c r="J18" s="3">
        <v>251.92</v>
      </c>
      <c r="K18" t="str">
        <f>IF(B18="", VLOOKUP(C18, Mapping!A:B, 2, FALSE), B18)</f>
        <v>West</v>
      </c>
      <c r="L18" t="str">
        <f t="shared" si="0"/>
        <v>Electronics</v>
      </c>
      <c r="M18">
        <f>IF(H18="", AVERAGEIF(Dataset!D:D, D18, Dataset!H:H), H18)</f>
        <v>260</v>
      </c>
      <c r="N18">
        <f>IF(I18="", AVERAGEIF(Dataset!D:D, D18, Dataset!I:I), I18)</f>
        <v>298.67</v>
      </c>
      <c r="O18">
        <f t="shared" si="1"/>
        <v>77654.2</v>
      </c>
      <c r="P18">
        <f t="shared" si="2"/>
        <v>12155.000000000007</v>
      </c>
    </row>
    <row r="19" spans="1:16" ht="15" thickBot="1" x14ac:dyDescent="0.35">
      <c r="A19" s="1" t="s">
        <v>44</v>
      </c>
      <c r="B19" s="1"/>
      <c r="C19" s="1" t="s">
        <v>18</v>
      </c>
      <c r="D19" s="1" t="s">
        <v>23</v>
      </c>
      <c r="E19" s="1" t="s">
        <v>24</v>
      </c>
      <c r="F19" s="1" t="s">
        <v>28</v>
      </c>
      <c r="G19" s="2">
        <v>44944</v>
      </c>
      <c r="H19" s="3">
        <v>398</v>
      </c>
      <c r="I19" s="3">
        <v>326.89999999999998</v>
      </c>
      <c r="J19" s="3">
        <v>270.37</v>
      </c>
      <c r="K19" t="str">
        <f>IF(B19="", VLOOKUP(C19, Mapping!A:B, 2, FALSE), B19)</f>
        <v>East</v>
      </c>
      <c r="L19" t="str">
        <f t="shared" si="0"/>
        <v>Clothing</v>
      </c>
      <c r="M19">
        <f>IF(H19="", AVERAGEIF(Dataset!D:D, D19, Dataset!H:H), H19)</f>
        <v>398</v>
      </c>
      <c r="N19">
        <f>IF(I19="", AVERAGEIF(Dataset!D:D, D19, Dataset!I:I), I19)</f>
        <v>326.89999999999998</v>
      </c>
      <c r="O19">
        <f t="shared" si="1"/>
        <v>130106.2</v>
      </c>
      <c r="P19">
        <f t="shared" si="2"/>
        <v>22498.939999999988</v>
      </c>
    </row>
    <row r="20" spans="1:16" ht="29.4" thickBot="1" x14ac:dyDescent="0.35">
      <c r="A20" s="1" t="s">
        <v>45</v>
      </c>
      <c r="B20" s="1" t="s">
        <v>17</v>
      </c>
      <c r="C20" s="1" t="s">
        <v>26</v>
      </c>
      <c r="D20" s="1" t="s">
        <v>13</v>
      </c>
      <c r="E20" s="1" t="s">
        <v>14</v>
      </c>
      <c r="F20" s="1" t="s">
        <v>28</v>
      </c>
      <c r="G20" s="2">
        <v>44945</v>
      </c>
      <c r="H20" s="3">
        <v>185</v>
      </c>
      <c r="I20" s="3">
        <v>242.24</v>
      </c>
      <c r="J20" s="3">
        <v>213.93</v>
      </c>
      <c r="K20" t="str">
        <f>IF(B20="", VLOOKUP(C20, Mapping!A:B, 2, FALSE), B20)</f>
        <v>West</v>
      </c>
      <c r="L20" t="str">
        <f t="shared" si="0"/>
        <v>Beverages</v>
      </c>
      <c r="M20">
        <f>IF(H20="", AVERAGEIF(Dataset!D:D, D20, Dataset!H:H), H20)</f>
        <v>185</v>
      </c>
      <c r="N20">
        <f>IF(I20="", AVERAGEIF(Dataset!D:D, D20, Dataset!I:I), I20)</f>
        <v>242.24</v>
      </c>
      <c r="O20">
        <f t="shared" si="1"/>
        <v>44814.400000000001</v>
      </c>
      <c r="P20">
        <f t="shared" si="2"/>
        <v>5237.3500000000004</v>
      </c>
    </row>
    <row r="21" spans="1:16" ht="15" thickBot="1" x14ac:dyDescent="0.35">
      <c r="A21" s="1" t="s">
        <v>46</v>
      </c>
      <c r="B21" s="1" t="s">
        <v>11</v>
      </c>
      <c r="C21" s="1" t="s">
        <v>18</v>
      </c>
      <c r="D21" s="1" t="s">
        <v>19</v>
      </c>
      <c r="E21" s="1" t="s">
        <v>24</v>
      </c>
      <c r="F21" s="1" t="s">
        <v>15</v>
      </c>
      <c r="G21" s="2">
        <v>44946</v>
      </c>
      <c r="H21" s="3">
        <v>99</v>
      </c>
      <c r="I21" s="3">
        <v>309.79000000000002</v>
      </c>
      <c r="J21" s="3">
        <v>289.13</v>
      </c>
      <c r="K21" t="str">
        <f>IF(B21="", VLOOKUP(C21, Mapping!A:B, 2, FALSE), B21)</f>
        <v>East</v>
      </c>
      <c r="L21" t="str">
        <f t="shared" si="0"/>
        <v>Food</v>
      </c>
      <c r="M21">
        <f>IF(H21="", AVERAGEIF(Dataset!D:D, D21, Dataset!H:H), H21)</f>
        <v>99</v>
      </c>
      <c r="N21">
        <f>IF(I21="", AVERAGEIF(Dataset!D:D, D21, Dataset!I:I), I21)</f>
        <v>309.79000000000002</v>
      </c>
      <c r="O21">
        <f t="shared" si="1"/>
        <v>30669.210000000003</v>
      </c>
      <c r="P21">
        <f t="shared" si="2"/>
        <v>2045.3400000000024</v>
      </c>
    </row>
    <row r="22" spans="1:16" ht="29.4" thickBot="1" x14ac:dyDescent="0.35">
      <c r="A22" s="1" t="s">
        <v>47</v>
      </c>
      <c r="B22" s="1" t="s">
        <v>48</v>
      </c>
      <c r="C22" s="1" t="s">
        <v>12</v>
      </c>
      <c r="D22" s="1" t="s">
        <v>42</v>
      </c>
      <c r="E22" s="1" t="s">
        <v>24</v>
      </c>
      <c r="F22" s="1" t="s">
        <v>28</v>
      </c>
      <c r="G22" s="2">
        <v>44947</v>
      </c>
      <c r="H22" s="3">
        <v>411</v>
      </c>
      <c r="I22" s="3">
        <v>167.86</v>
      </c>
      <c r="J22" s="3">
        <v>58.23</v>
      </c>
      <c r="K22" t="str">
        <f>IF(B22="", VLOOKUP(C22, Mapping!A:B, 2, FALSE), B22)</f>
        <v>South</v>
      </c>
      <c r="L22" t="str">
        <f t="shared" si="0"/>
        <v>Electronics</v>
      </c>
      <c r="M22">
        <f>IF(H22="", AVERAGEIF(Dataset!D:D, D22, Dataset!H:H), H22)</f>
        <v>411</v>
      </c>
      <c r="N22">
        <f>IF(I22="", AVERAGEIF(Dataset!D:D, D22, Dataset!I:I), I22)</f>
        <v>167.86</v>
      </c>
      <c r="O22">
        <f t="shared" si="1"/>
        <v>68990.460000000006</v>
      </c>
      <c r="P22">
        <f t="shared" si="2"/>
        <v>45057.930000000008</v>
      </c>
    </row>
    <row r="23" spans="1:16" ht="15" thickBot="1" x14ac:dyDescent="0.35">
      <c r="A23" s="1" t="s">
        <v>49</v>
      </c>
      <c r="B23" s="1" t="s">
        <v>22</v>
      </c>
      <c r="C23" s="1" t="s">
        <v>50</v>
      </c>
      <c r="D23" s="1" t="s">
        <v>19</v>
      </c>
      <c r="E23" s="1" t="s">
        <v>24</v>
      </c>
      <c r="F23" s="1" t="s">
        <v>15</v>
      </c>
      <c r="G23" s="2">
        <v>44948</v>
      </c>
      <c r="H23" s="3">
        <v>463</v>
      </c>
      <c r="I23" s="3">
        <v>237.74</v>
      </c>
      <c r="J23" s="3">
        <v>86.37</v>
      </c>
      <c r="K23" t="str">
        <f>IF(B23="", VLOOKUP(C23, Mapping!A:B, 2, FALSE), B23)</f>
        <v>North</v>
      </c>
      <c r="L23" t="str">
        <f t="shared" si="0"/>
        <v>Food</v>
      </c>
      <c r="M23">
        <f>IF(H23="", AVERAGEIF(Dataset!D:D, D23, Dataset!H:H), H23)</f>
        <v>463</v>
      </c>
      <c r="N23">
        <f>IF(I23="", AVERAGEIF(Dataset!D:D, D23, Dataset!I:I), I23)</f>
        <v>237.74</v>
      </c>
      <c r="O23">
        <f t="shared" si="1"/>
        <v>110073.62000000001</v>
      </c>
      <c r="P23">
        <f t="shared" si="2"/>
        <v>70084.31</v>
      </c>
    </row>
    <row r="24" spans="1:16" ht="29.4" thickBot="1" x14ac:dyDescent="0.35">
      <c r="A24" s="1" t="s">
        <v>51</v>
      </c>
      <c r="B24" s="1" t="s">
        <v>48</v>
      </c>
      <c r="C24" s="1" t="s">
        <v>50</v>
      </c>
      <c r="D24" s="1" t="s">
        <v>42</v>
      </c>
      <c r="E24" s="1" t="s">
        <v>14</v>
      </c>
      <c r="F24" s="1" t="s">
        <v>20</v>
      </c>
      <c r="G24" s="2">
        <v>44949</v>
      </c>
      <c r="H24" s="3">
        <v>46</v>
      </c>
      <c r="I24" s="3">
        <v>373.42</v>
      </c>
      <c r="J24" s="3">
        <v>327.86</v>
      </c>
      <c r="K24" t="str">
        <f>IF(B24="", VLOOKUP(C24, Mapping!A:B, 2, FALSE), B24)</f>
        <v>South</v>
      </c>
      <c r="L24" t="str">
        <f t="shared" si="0"/>
        <v>Electronics</v>
      </c>
      <c r="M24">
        <f>IF(H24="", AVERAGEIF(Dataset!D:D, D24, Dataset!H:H), H24)</f>
        <v>46</v>
      </c>
      <c r="N24">
        <f>IF(I24="", AVERAGEIF(Dataset!D:D, D24, Dataset!I:I), I24)</f>
        <v>373.42</v>
      </c>
      <c r="O24">
        <f t="shared" si="1"/>
        <v>17177.32</v>
      </c>
      <c r="P24">
        <f t="shared" si="2"/>
        <v>2095.7600000000002</v>
      </c>
    </row>
    <row r="25" spans="1:16" ht="29.4" thickBot="1" x14ac:dyDescent="0.35">
      <c r="A25" s="1" t="s">
        <v>52</v>
      </c>
      <c r="B25" s="1" t="s">
        <v>17</v>
      </c>
      <c r="C25" s="1" t="s">
        <v>31</v>
      </c>
      <c r="D25" s="1" t="s">
        <v>42</v>
      </c>
      <c r="E25" s="1" t="s">
        <v>24</v>
      </c>
      <c r="F25" s="1" t="s">
        <v>28</v>
      </c>
      <c r="G25" s="2">
        <v>44950</v>
      </c>
      <c r="H25" s="3">
        <v>325</v>
      </c>
      <c r="I25" s="3">
        <v>436.56</v>
      </c>
      <c r="J25" s="3">
        <v>130.37</v>
      </c>
      <c r="K25" t="str">
        <f>IF(B25="", VLOOKUP(C25, Mapping!A:B, 2, FALSE), B25)</f>
        <v>West</v>
      </c>
      <c r="L25" t="str">
        <f t="shared" si="0"/>
        <v>Electronics</v>
      </c>
      <c r="M25">
        <f>IF(H25="", AVERAGEIF(Dataset!D:D, D25, Dataset!H:H), H25)</f>
        <v>325</v>
      </c>
      <c r="N25">
        <f>IF(I25="", AVERAGEIF(Dataset!D:D, D25, Dataset!I:I), I25)</f>
        <v>436.56</v>
      </c>
      <c r="O25">
        <f t="shared" si="1"/>
        <v>141882</v>
      </c>
      <c r="P25">
        <f t="shared" si="2"/>
        <v>99511.75</v>
      </c>
    </row>
    <row r="26" spans="1:16" ht="15" thickBot="1" x14ac:dyDescent="0.35">
      <c r="A26" s="1" t="s">
        <v>53</v>
      </c>
      <c r="B26" s="1" t="s">
        <v>17</v>
      </c>
      <c r="C26" s="1" t="s">
        <v>18</v>
      </c>
      <c r="D26" s="1"/>
      <c r="E26" s="1" t="s">
        <v>24</v>
      </c>
      <c r="F26" s="1" t="s">
        <v>28</v>
      </c>
      <c r="G26" s="2">
        <v>44951</v>
      </c>
      <c r="H26" s="3">
        <v>185</v>
      </c>
      <c r="I26" s="3">
        <v>219.66</v>
      </c>
      <c r="J26" s="3">
        <v>11.11</v>
      </c>
      <c r="K26" t="str">
        <f>IF(B26="", VLOOKUP(C26, Mapping!A:B, 2, FALSE), B26)</f>
        <v>West</v>
      </c>
      <c r="L26" t="str">
        <f t="shared" si="0"/>
        <v>Food</v>
      </c>
      <c r="M26">
        <f>IF(H26="", AVERAGEIF(Dataset!D:D, D26, Dataset!H:H), H26)</f>
        <v>185</v>
      </c>
      <c r="N26">
        <f>IF(I26="", AVERAGEIF(Dataset!D:D, D26, Dataset!I:I), I26)</f>
        <v>219.66</v>
      </c>
      <c r="O26">
        <f t="shared" si="1"/>
        <v>40637.1</v>
      </c>
      <c r="P26">
        <f t="shared" si="2"/>
        <v>38581.75</v>
      </c>
    </row>
    <row r="27" spans="1:16" ht="29.4" thickBot="1" x14ac:dyDescent="0.35">
      <c r="A27" s="1" t="s">
        <v>54</v>
      </c>
      <c r="B27" s="1" t="s">
        <v>48</v>
      </c>
      <c r="C27" s="1" t="s">
        <v>18</v>
      </c>
      <c r="D27" s="1" t="s">
        <v>13</v>
      </c>
      <c r="E27" s="1" t="s">
        <v>24</v>
      </c>
      <c r="F27" s="1" t="s">
        <v>15</v>
      </c>
      <c r="G27" s="2">
        <v>44952</v>
      </c>
      <c r="H27" s="3">
        <v>470</v>
      </c>
      <c r="I27" s="3">
        <v>26.61</v>
      </c>
      <c r="J27" s="3">
        <v>63.21</v>
      </c>
      <c r="K27" t="str">
        <f>IF(B27="", VLOOKUP(C27, Mapping!A:B, 2, FALSE), B27)</f>
        <v>South</v>
      </c>
      <c r="L27" t="str">
        <f t="shared" si="0"/>
        <v>Beverages</v>
      </c>
      <c r="M27">
        <f>IF(H27="", AVERAGEIF(Dataset!D:D, D27, Dataset!H:H), H27)</f>
        <v>470</v>
      </c>
      <c r="N27">
        <f>IF(I27="", AVERAGEIF(Dataset!D:D, D27, Dataset!I:I), I27)</f>
        <v>26.61</v>
      </c>
      <c r="O27">
        <f t="shared" si="1"/>
        <v>12506.699999999999</v>
      </c>
      <c r="P27">
        <f t="shared" si="2"/>
        <v>0</v>
      </c>
    </row>
    <row r="28" spans="1:16" ht="15" thickBot="1" x14ac:dyDescent="0.35">
      <c r="A28" s="1" t="s">
        <v>55</v>
      </c>
      <c r="B28" s="1" t="s">
        <v>48</v>
      </c>
      <c r="C28" s="1" t="s">
        <v>31</v>
      </c>
      <c r="D28" s="1" t="s">
        <v>27</v>
      </c>
      <c r="E28" s="1" t="s">
        <v>14</v>
      </c>
      <c r="F28" s="1" t="s">
        <v>28</v>
      </c>
      <c r="G28" s="2">
        <v>44953</v>
      </c>
      <c r="H28" s="3">
        <v>293</v>
      </c>
      <c r="I28" s="3">
        <v>85.03</v>
      </c>
      <c r="J28" s="3">
        <v>91</v>
      </c>
      <c r="K28" t="str">
        <f>IF(B28="", VLOOKUP(C28, Mapping!A:B, 2, FALSE), B28)</f>
        <v>South</v>
      </c>
      <c r="L28" t="str">
        <f t="shared" si="0"/>
        <v>Furniture</v>
      </c>
      <c r="M28">
        <f>IF(H28="", AVERAGEIF(Dataset!D:D, D28, Dataset!H:H), H28)</f>
        <v>293</v>
      </c>
      <c r="N28">
        <f>IF(I28="", AVERAGEIF(Dataset!D:D, D28, Dataset!I:I), I28)</f>
        <v>85.03</v>
      </c>
      <c r="O28">
        <f t="shared" si="1"/>
        <v>24913.79</v>
      </c>
      <c r="P28">
        <f t="shared" si="2"/>
        <v>0</v>
      </c>
    </row>
    <row r="29" spans="1:16" ht="15" thickBot="1" x14ac:dyDescent="0.35">
      <c r="A29" s="1" t="s">
        <v>56</v>
      </c>
      <c r="B29" s="1" t="s">
        <v>48</v>
      </c>
      <c r="C29" s="1" t="s">
        <v>31</v>
      </c>
      <c r="D29" s="1" t="s">
        <v>19</v>
      </c>
      <c r="E29" s="1" t="s">
        <v>14</v>
      </c>
      <c r="F29" s="1" t="s">
        <v>28</v>
      </c>
      <c r="G29" s="2">
        <v>44954</v>
      </c>
      <c r="H29" s="3">
        <v>462</v>
      </c>
      <c r="I29" s="1"/>
      <c r="J29" s="3">
        <v>383.01</v>
      </c>
      <c r="K29" t="str">
        <f>IF(B29="", VLOOKUP(C29, Mapping!A:B, 2, FALSE), B29)</f>
        <v>South</v>
      </c>
      <c r="L29" t="str">
        <f t="shared" si="0"/>
        <v>Food</v>
      </c>
      <c r="M29">
        <f>IF(H29="", AVERAGEIF(Dataset!D:D, D29, Dataset!H:H), H29)</f>
        <v>462</v>
      </c>
      <c r="N29">
        <f>IF(I29="", AVERAGEIF(Dataset!D:D, D29, Dataset!I:I), I29)</f>
        <v>259.99928571428569</v>
      </c>
      <c r="O29" t="str">
        <f t="shared" si="1"/>
        <v/>
      </c>
      <c r="P29">
        <f t="shared" si="2"/>
        <v>0</v>
      </c>
    </row>
    <row r="30" spans="1:16" ht="29.4" thickBot="1" x14ac:dyDescent="0.35">
      <c r="A30" s="1" t="s">
        <v>57</v>
      </c>
      <c r="B30" s="1" t="s">
        <v>17</v>
      </c>
      <c r="C30" s="1" t="s">
        <v>31</v>
      </c>
      <c r="D30" s="1" t="s">
        <v>13</v>
      </c>
      <c r="E30" s="1" t="s">
        <v>24</v>
      </c>
      <c r="F30" s="1" t="s">
        <v>20</v>
      </c>
      <c r="G30" s="2">
        <v>44955</v>
      </c>
      <c r="H30" s="3">
        <v>470</v>
      </c>
      <c r="I30" s="3">
        <v>328.37</v>
      </c>
      <c r="J30" s="3">
        <v>230.07</v>
      </c>
      <c r="K30" t="str">
        <f>IF(B30="", VLOOKUP(C30, Mapping!A:B, 2, FALSE), B30)</f>
        <v>West</v>
      </c>
      <c r="L30" t="str">
        <f t="shared" si="0"/>
        <v>Beverages</v>
      </c>
      <c r="M30">
        <f>IF(H30="", AVERAGEIF(Dataset!D:D, D30, Dataset!H:H), H30)</f>
        <v>470</v>
      </c>
      <c r="N30">
        <f>IF(I30="", AVERAGEIF(Dataset!D:D, D30, Dataset!I:I), I30)</f>
        <v>328.37</v>
      </c>
      <c r="O30">
        <f t="shared" si="1"/>
        <v>154333.9</v>
      </c>
      <c r="P30">
        <f t="shared" si="2"/>
        <v>46201.000000000007</v>
      </c>
    </row>
    <row r="31" spans="1:16" ht="29.4" thickBot="1" x14ac:dyDescent="0.35">
      <c r="A31" s="1" t="s">
        <v>58</v>
      </c>
      <c r="B31" s="1" t="s">
        <v>17</v>
      </c>
      <c r="C31" s="1" t="s">
        <v>12</v>
      </c>
      <c r="D31" s="1" t="s">
        <v>13</v>
      </c>
      <c r="E31" s="1" t="s">
        <v>14</v>
      </c>
      <c r="F31" s="1" t="s">
        <v>28</v>
      </c>
      <c r="G31" s="2">
        <v>44956</v>
      </c>
      <c r="H31" s="3">
        <v>90</v>
      </c>
      <c r="I31" s="3">
        <v>169.5</v>
      </c>
      <c r="J31" s="3">
        <v>373.23</v>
      </c>
      <c r="K31" t="str">
        <f>IF(B31="", VLOOKUP(C31, Mapping!A:B, 2, FALSE), B31)</f>
        <v>West</v>
      </c>
      <c r="L31" t="str">
        <f t="shared" si="0"/>
        <v>Beverages</v>
      </c>
      <c r="M31">
        <f>IF(H31="", AVERAGEIF(Dataset!D:D, D31, Dataset!H:H), H31)</f>
        <v>90</v>
      </c>
      <c r="N31">
        <f>IF(I31="", AVERAGEIF(Dataset!D:D, D31, Dataset!I:I), I31)</f>
        <v>169.5</v>
      </c>
      <c r="O31">
        <f t="shared" si="1"/>
        <v>15255</v>
      </c>
      <c r="P31">
        <f t="shared" si="2"/>
        <v>0</v>
      </c>
    </row>
    <row r="32" spans="1:16" ht="29.4" thickBot="1" x14ac:dyDescent="0.35">
      <c r="A32" s="1" t="s">
        <v>59</v>
      </c>
      <c r="B32" s="1"/>
      <c r="C32" s="1" t="s">
        <v>18</v>
      </c>
      <c r="D32" s="1" t="s">
        <v>13</v>
      </c>
      <c r="E32" s="1" t="s">
        <v>14</v>
      </c>
      <c r="F32" s="1" t="s">
        <v>20</v>
      </c>
      <c r="G32" s="2">
        <v>44957</v>
      </c>
      <c r="H32" s="3">
        <v>123</v>
      </c>
      <c r="I32" s="3">
        <v>273.52999999999997</v>
      </c>
      <c r="J32" s="3">
        <v>230.92</v>
      </c>
      <c r="K32" t="str">
        <f>IF(B32="", VLOOKUP(C32, Mapping!A:B, 2, FALSE), B32)</f>
        <v>East</v>
      </c>
      <c r="L32" t="str">
        <f t="shared" si="0"/>
        <v>Beverages</v>
      </c>
      <c r="M32">
        <f>IF(H32="", AVERAGEIF(Dataset!D:D, D32, Dataset!H:H), H32)</f>
        <v>123</v>
      </c>
      <c r="N32">
        <f>IF(I32="", AVERAGEIF(Dataset!D:D, D32, Dataset!I:I), I32)</f>
        <v>273.52999999999997</v>
      </c>
      <c r="O32">
        <f t="shared" si="1"/>
        <v>33644.189999999995</v>
      </c>
      <c r="P32">
        <f t="shared" si="2"/>
        <v>5241.0299999999979</v>
      </c>
    </row>
    <row r="33" spans="1:16" ht="29.4" thickBot="1" x14ac:dyDescent="0.35">
      <c r="A33" s="1" t="s">
        <v>60</v>
      </c>
      <c r="B33" s="1" t="s">
        <v>22</v>
      </c>
      <c r="C33" s="1" t="s">
        <v>12</v>
      </c>
      <c r="D33" s="1" t="s">
        <v>13</v>
      </c>
      <c r="E33" s="1" t="s">
        <v>14</v>
      </c>
      <c r="F33" s="1" t="s">
        <v>15</v>
      </c>
      <c r="G33" s="2">
        <v>44958</v>
      </c>
      <c r="H33" s="3">
        <v>49</v>
      </c>
      <c r="I33" s="3">
        <v>249.17</v>
      </c>
      <c r="J33" s="3">
        <v>192.78</v>
      </c>
      <c r="K33" t="str">
        <f>IF(B33="", VLOOKUP(C33, Mapping!A:B, 2, FALSE), B33)</f>
        <v>North</v>
      </c>
      <c r="L33" t="str">
        <f t="shared" si="0"/>
        <v>Beverages</v>
      </c>
      <c r="M33">
        <f>IF(H33="", AVERAGEIF(Dataset!D:D, D33, Dataset!H:H), H33)</f>
        <v>49</v>
      </c>
      <c r="N33">
        <f>IF(I33="", AVERAGEIF(Dataset!D:D, D33, Dataset!I:I), I33)</f>
        <v>249.17</v>
      </c>
      <c r="O33">
        <f t="shared" si="1"/>
        <v>12209.33</v>
      </c>
      <c r="P33">
        <f t="shared" si="2"/>
        <v>2763.1099999999992</v>
      </c>
    </row>
    <row r="34" spans="1:16" ht="29.4" thickBot="1" x14ac:dyDescent="0.35">
      <c r="A34" s="1" t="s">
        <v>61</v>
      </c>
      <c r="B34" s="1" t="s">
        <v>17</v>
      </c>
      <c r="C34" s="1" t="s">
        <v>31</v>
      </c>
      <c r="D34" s="1" t="s">
        <v>13</v>
      </c>
      <c r="E34" s="1" t="s">
        <v>14</v>
      </c>
      <c r="F34" s="1" t="s">
        <v>28</v>
      </c>
      <c r="G34" s="2">
        <v>44959</v>
      </c>
      <c r="H34" s="3">
        <v>310</v>
      </c>
      <c r="I34" s="3">
        <v>45.36</v>
      </c>
      <c r="J34" s="3">
        <v>126.86</v>
      </c>
      <c r="K34" t="str">
        <f>IF(B34="", VLOOKUP(C34, Mapping!A:B, 2, FALSE), B34)</f>
        <v>West</v>
      </c>
      <c r="L34" t="str">
        <f t="shared" si="0"/>
        <v>Beverages</v>
      </c>
      <c r="M34">
        <f>IF(H34="", AVERAGEIF(Dataset!D:D, D34, Dataset!H:H), H34)</f>
        <v>310</v>
      </c>
      <c r="N34">
        <f>IF(I34="", AVERAGEIF(Dataset!D:D, D34, Dataset!I:I), I34)</f>
        <v>45.36</v>
      </c>
      <c r="O34">
        <f t="shared" si="1"/>
        <v>14061.6</v>
      </c>
      <c r="P34">
        <f t="shared" si="2"/>
        <v>0</v>
      </c>
    </row>
    <row r="35" spans="1:16" ht="15" thickBot="1" x14ac:dyDescent="0.35">
      <c r="A35" s="1" t="s">
        <v>62</v>
      </c>
      <c r="B35" s="1" t="s">
        <v>48</v>
      </c>
      <c r="C35" s="1" t="s">
        <v>18</v>
      </c>
      <c r="D35" s="1" t="s">
        <v>23</v>
      </c>
      <c r="E35" s="1" t="s">
        <v>14</v>
      </c>
      <c r="F35" s="1" t="s">
        <v>20</v>
      </c>
      <c r="G35" s="2">
        <v>44960</v>
      </c>
      <c r="H35" s="3">
        <v>233</v>
      </c>
      <c r="I35" s="3">
        <v>204.61</v>
      </c>
      <c r="J35" s="3">
        <v>243.34</v>
      </c>
      <c r="K35" t="str">
        <f>IF(B35="", VLOOKUP(C35, Mapping!A:B, 2, FALSE), B35)</f>
        <v>South</v>
      </c>
      <c r="L35" t="str">
        <f t="shared" si="0"/>
        <v>Clothing</v>
      </c>
      <c r="M35">
        <f>IF(H35="", AVERAGEIF(Dataset!D:D, D35, Dataset!H:H), H35)</f>
        <v>233</v>
      </c>
      <c r="N35">
        <f>IF(I35="", AVERAGEIF(Dataset!D:D, D35, Dataset!I:I), I35)</f>
        <v>204.61</v>
      </c>
      <c r="O35">
        <f t="shared" si="1"/>
        <v>47674.130000000005</v>
      </c>
      <c r="P35">
        <f t="shared" si="2"/>
        <v>0</v>
      </c>
    </row>
    <row r="36" spans="1:16" ht="15" thickBot="1" x14ac:dyDescent="0.35">
      <c r="A36" s="1" t="s">
        <v>63</v>
      </c>
      <c r="B36" s="1" t="s">
        <v>48</v>
      </c>
      <c r="C36" s="1" t="s">
        <v>12</v>
      </c>
      <c r="D36" s="1" t="s">
        <v>19</v>
      </c>
      <c r="E36" s="1" t="s">
        <v>14</v>
      </c>
      <c r="F36" s="1" t="s">
        <v>15</v>
      </c>
      <c r="G36" s="2">
        <v>44961</v>
      </c>
      <c r="H36" s="3">
        <v>327</v>
      </c>
      <c r="I36" s="3">
        <v>114.18</v>
      </c>
      <c r="J36" s="3">
        <v>57.4</v>
      </c>
      <c r="K36" t="str">
        <f>IF(B36="", VLOOKUP(C36, Mapping!A:B, 2, FALSE), B36)</f>
        <v>South</v>
      </c>
      <c r="L36" t="str">
        <f t="shared" si="0"/>
        <v>Food</v>
      </c>
      <c r="M36">
        <f>IF(H36="", AVERAGEIF(Dataset!D:D, D36, Dataset!H:H), H36)</f>
        <v>327</v>
      </c>
      <c r="N36">
        <f>IF(I36="", AVERAGEIF(Dataset!D:D, D36, Dataset!I:I), I36)</f>
        <v>114.18</v>
      </c>
      <c r="O36">
        <f t="shared" si="1"/>
        <v>37336.86</v>
      </c>
      <c r="P36">
        <f t="shared" si="2"/>
        <v>18567.060000000001</v>
      </c>
    </row>
    <row r="37" spans="1:16" ht="29.4" thickBot="1" x14ac:dyDescent="0.35">
      <c r="A37" s="1" t="s">
        <v>64</v>
      </c>
      <c r="B37" s="1" t="s">
        <v>22</v>
      </c>
      <c r="C37" s="1" t="s">
        <v>12</v>
      </c>
      <c r="D37" s="1" t="s">
        <v>13</v>
      </c>
      <c r="E37" s="1" t="s">
        <v>14</v>
      </c>
      <c r="F37" s="1" t="s">
        <v>28</v>
      </c>
      <c r="G37" s="2">
        <v>44962</v>
      </c>
      <c r="H37" s="3">
        <v>358</v>
      </c>
      <c r="I37" s="3">
        <v>212.11</v>
      </c>
      <c r="J37" s="3">
        <v>359.51</v>
      </c>
      <c r="K37" t="str">
        <f>IF(B37="", VLOOKUP(C37, Mapping!A:B, 2, FALSE), B37)</f>
        <v>North</v>
      </c>
      <c r="L37" t="str">
        <f t="shared" si="0"/>
        <v>Beverages</v>
      </c>
      <c r="M37">
        <f>IF(H37="", AVERAGEIF(Dataset!D:D, D37, Dataset!H:H), H37)</f>
        <v>358</v>
      </c>
      <c r="N37">
        <f>IF(I37="", AVERAGEIF(Dataset!D:D, D37, Dataset!I:I), I37)</f>
        <v>212.11</v>
      </c>
      <c r="O37">
        <f t="shared" si="1"/>
        <v>75935.38</v>
      </c>
      <c r="P37">
        <f t="shared" si="2"/>
        <v>0</v>
      </c>
    </row>
    <row r="38" spans="1:16" ht="15" thickBot="1" x14ac:dyDescent="0.35">
      <c r="A38" s="1" t="s">
        <v>65</v>
      </c>
      <c r="B38" s="1" t="s">
        <v>17</v>
      </c>
      <c r="C38" s="1" t="s">
        <v>31</v>
      </c>
      <c r="D38" s="1" t="s">
        <v>19</v>
      </c>
      <c r="E38" s="1" t="s">
        <v>14</v>
      </c>
      <c r="F38" s="1" t="s">
        <v>15</v>
      </c>
      <c r="G38" s="2">
        <v>44963</v>
      </c>
      <c r="H38" s="3">
        <v>124</v>
      </c>
      <c r="I38" s="1"/>
      <c r="J38" s="3">
        <v>332.07</v>
      </c>
      <c r="K38" t="str">
        <f>IF(B38="", VLOOKUP(C38, Mapping!A:B, 2, FALSE), B38)</f>
        <v>West</v>
      </c>
      <c r="L38" t="str">
        <f t="shared" si="0"/>
        <v>Food</v>
      </c>
      <c r="M38">
        <f>IF(H38="", AVERAGEIF(Dataset!D:D, D38, Dataset!H:H), H38)</f>
        <v>124</v>
      </c>
      <c r="N38">
        <f>IF(I38="", AVERAGEIF(Dataset!D:D, D38, Dataset!I:I), I38)</f>
        <v>259.99928571428569</v>
      </c>
      <c r="O38" t="str">
        <f t="shared" si="1"/>
        <v/>
      </c>
      <c r="P38">
        <f t="shared" si="2"/>
        <v>0</v>
      </c>
    </row>
    <row r="39" spans="1:16" ht="15" thickBot="1" x14ac:dyDescent="0.35">
      <c r="A39" s="1" t="s">
        <v>66</v>
      </c>
      <c r="B39" s="1" t="s">
        <v>22</v>
      </c>
      <c r="C39" s="1" t="s">
        <v>18</v>
      </c>
      <c r="D39" s="1" t="s">
        <v>23</v>
      </c>
      <c r="E39" s="1" t="s">
        <v>14</v>
      </c>
      <c r="F39" s="1" t="s">
        <v>28</v>
      </c>
      <c r="G39" s="2">
        <v>44964</v>
      </c>
      <c r="H39" s="3">
        <v>195</v>
      </c>
      <c r="I39" s="3">
        <v>421.02</v>
      </c>
      <c r="J39" s="3">
        <v>128.38</v>
      </c>
      <c r="K39" t="str">
        <f>IF(B39="", VLOOKUP(C39, Mapping!A:B, 2, FALSE), B39)</f>
        <v>North</v>
      </c>
      <c r="L39" t="str">
        <f t="shared" si="0"/>
        <v>Clothing</v>
      </c>
      <c r="M39">
        <f>IF(H39="", AVERAGEIF(Dataset!D:D, D39, Dataset!H:H), H39)</f>
        <v>195</v>
      </c>
      <c r="N39">
        <f>IF(I39="", AVERAGEIF(Dataset!D:D, D39, Dataset!I:I), I39)</f>
        <v>421.02</v>
      </c>
      <c r="O39">
        <f t="shared" si="1"/>
        <v>82098.899999999994</v>
      </c>
      <c r="P39">
        <f t="shared" si="2"/>
        <v>57064.799999999996</v>
      </c>
    </row>
    <row r="40" spans="1:16" ht="15" thickBot="1" x14ac:dyDescent="0.35">
      <c r="A40" s="1" t="s">
        <v>67</v>
      </c>
      <c r="B40" s="1" t="s">
        <v>22</v>
      </c>
      <c r="C40" s="1" t="s">
        <v>31</v>
      </c>
      <c r="D40" s="1" t="s">
        <v>23</v>
      </c>
      <c r="E40" s="1" t="s">
        <v>14</v>
      </c>
      <c r="F40" s="1" t="s">
        <v>15</v>
      </c>
      <c r="G40" s="2">
        <v>44965</v>
      </c>
      <c r="H40" s="1"/>
      <c r="I40" s="3">
        <v>91.23</v>
      </c>
      <c r="J40" s="3">
        <v>381.21</v>
      </c>
      <c r="K40" t="str">
        <f>IF(B40="", VLOOKUP(C40, Mapping!A:B, 2, FALSE), B40)</f>
        <v>North</v>
      </c>
      <c r="L40" t="str">
        <f t="shared" si="0"/>
        <v>Clothing</v>
      </c>
      <c r="M40">
        <f>IF(H40="", AVERAGEIF(Dataset!D:D, D40, Dataset!H:H), H40)</f>
        <v>229.63076923076923</v>
      </c>
      <c r="N40">
        <f>IF(I40="", AVERAGEIF(Dataset!D:D, D40, Dataset!I:I), I40)</f>
        <v>91.23</v>
      </c>
      <c r="O40" t="str">
        <f t="shared" si="1"/>
        <v/>
      </c>
      <c r="P40">
        <f t="shared" si="2"/>
        <v>0</v>
      </c>
    </row>
    <row r="41" spans="1:16" ht="15" thickBot="1" x14ac:dyDescent="0.35">
      <c r="A41" s="1" t="s">
        <v>68</v>
      </c>
      <c r="B41" s="1" t="s">
        <v>11</v>
      </c>
      <c r="C41" s="1" t="s">
        <v>18</v>
      </c>
      <c r="D41" s="1" t="s">
        <v>19</v>
      </c>
      <c r="E41" s="1" t="s">
        <v>24</v>
      </c>
      <c r="F41" s="1" t="s">
        <v>15</v>
      </c>
      <c r="G41" s="2">
        <v>44966</v>
      </c>
      <c r="H41" s="3">
        <v>65</v>
      </c>
      <c r="I41" s="3">
        <v>480.59</v>
      </c>
      <c r="J41" s="3">
        <v>330.43</v>
      </c>
      <c r="K41" t="str">
        <f>IF(B41="", VLOOKUP(C41, Mapping!A:B, 2, FALSE), B41)</f>
        <v>East</v>
      </c>
      <c r="L41" t="str">
        <f t="shared" si="0"/>
        <v>Food</v>
      </c>
      <c r="M41">
        <f>IF(H41="", AVERAGEIF(Dataset!D:D, D41, Dataset!H:H), H41)</f>
        <v>65</v>
      </c>
      <c r="N41">
        <f>IF(I41="", AVERAGEIF(Dataset!D:D, D41, Dataset!I:I), I41)</f>
        <v>480.59</v>
      </c>
      <c r="O41">
        <f t="shared" si="1"/>
        <v>31238.35</v>
      </c>
      <c r="P41">
        <f t="shared" si="2"/>
        <v>9760.3999999999978</v>
      </c>
    </row>
    <row r="42" spans="1:16" ht="29.4" thickBot="1" x14ac:dyDescent="0.35">
      <c r="A42" s="1" t="s">
        <v>69</v>
      </c>
      <c r="B42" s="1" t="s">
        <v>11</v>
      </c>
      <c r="C42" s="1" t="s">
        <v>50</v>
      </c>
      <c r="D42" s="1" t="s">
        <v>42</v>
      </c>
      <c r="E42" s="1" t="s">
        <v>24</v>
      </c>
      <c r="F42" s="1" t="s">
        <v>20</v>
      </c>
      <c r="G42" s="2">
        <v>44967</v>
      </c>
      <c r="H42" s="3">
        <v>49</v>
      </c>
      <c r="I42" s="3">
        <v>210.87</v>
      </c>
      <c r="J42" s="3">
        <v>267.19</v>
      </c>
      <c r="K42" t="str">
        <f>IF(B42="", VLOOKUP(C42, Mapping!A:B, 2, FALSE), B42)</f>
        <v>East</v>
      </c>
      <c r="L42" t="str">
        <f t="shared" si="0"/>
        <v>Electronics</v>
      </c>
      <c r="M42">
        <f>IF(H42="", AVERAGEIF(Dataset!D:D, D42, Dataset!H:H), H42)</f>
        <v>49</v>
      </c>
      <c r="N42">
        <f>IF(I42="", AVERAGEIF(Dataset!D:D, D42, Dataset!I:I), I42)</f>
        <v>210.87</v>
      </c>
      <c r="O42">
        <f t="shared" si="1"/>
        <v>10332.630000000001</v>
      </c>
      <c r="P42">
        <f t="shared" si="2"/>
        <v>0</v>
      </c>
    </row>
    <row r="43" spans="1:16" ht="15" thickBot="1" x14ac:dyDescent="0.35">
      <c r="A43" s="1" t="s">
        <v>70</v>
      </c>
      <c r="B43" s="1" t="s">
        <v>11</v>
      </c>
      <c r="C43" s="1" t="s">
        <v>26</v>
      </c>
      <c r="D43" s="1" t="s">
        <v>27</v>
      </c>
      <c r="E43" s="1" t="s">
        <v>14</v>
      </c>
      <c r="F43" s="1" t="s">
        <v>15</v>
      </c>
      <c r="G43" s="2">
        <v>44968</v>
      </c>
      <c r="H43" s="3">
        <v>363</v>
      </c>
      <c r="I43" s="3">
        <v>423.89</v>
      </c>
      <c r="J43" s="3">
        <v>50.46</v>
      </c>
      <c r="K43" t="str">
        <f>IF(B43="", VLOOKUP(C43, Mapping!A:B, 2, FALSE), B43)</f>
        <v>East</v>
      </c>
      <c r="L43" t="str">
        <f t="shared" si="0"/>
        <v>Furniture</v>
      </c>
      <c r="M43">
        <f>IF(H43="", AVERAGEIF(Dataset!D:D, D43, Dataset!H:H), H43)</f>
        <v>363</v>
      </c>
      <c r="N43">
        <f>IF(I43="", AVERAGEIF(Dataset!D:D, D43, Dataset!I:I), I43)</f>
        <v>423.89</v>
      </c>
      <c r="O43">
        <f t="shared" si="1"/>
        <v>153872.07</v>
      </c>
      <c r="P43">
        <f t="shared" si="2"/>
        <v>135555.09</v>
      </c>
    </row>
    <row r="44" spans="1:16" ht="29.4" thickBot="1" x14ac:dyDescent="0.35">
      <c r="A44" s="1" t="s">
        <v>71</v>
      </c>
      <c r="B44" s="1" t="s">
        <v>48</v>
      </c>
      <c r="C44" s="1" t="s">
        <v>26</v>
      </c>
      <c r="D44" s="1" t="s">
        <v>42</v>
      </c>
      <c r="E44" s="1" t="s">
        <v>24</v>
      </c>
      <c r="F44" s="1" t="s">
        <v>28</v>
      </c>
      <c r="G44" s="2">
        <v>44969</v>
      </c>
      <c r="H44" s="3">
        <v>49</v>
      </c>
      <c r="I44" s="3">
        <v>316.24</v>
      </c>
      <c r="J44" s="3">
        <v>192.34</v>
      </c>
      <c r="K44" t="str">
        <f>IF(B44="", VLOOKUP(C44, Mapping!A:B, 2, FALSE), B44)</f>
        <v>South</v>
      </c>
      <c r="L44" t="str">
        <f t="shared" si="0"/>
        <v>Electronics</v>
      </c>
      <c r="M44">
        <f>IF(H44="", AVERAGEIF(Dataset!D:D, D44, Dataset!H:H), H44)</f>
        <v>49</v>
      </c>
      <c r="N44">
        <f>IF(I44="", AVERAGEIF(Dataset!D:D, D44, Dataset!I:I), I44)</f>
        <v>316.24</v>
      </c>
      <c r="O44">
        <f t="shared" si="1"/>
        <v>15495.76</v>
      </c>
      <c r="P44">
        <f t="shared" si="2"/>
        <v>6071.1</v>
      </c>
    </row>
    <row r="45" spans="1:16" ht="29.4" thickBot="1" x14ac:dyDescent="0.35">
      <c r="A45" s="1" t="s">
        <v>72</v>
      </c>
      <c r="B45" s="1" t="s">
        <v>17</v>
      </c>
      <c r="C45" s="1" t="s">
        <v>26</v>
      </c>
      <c r="D45" s="1" t="s">
        <v>42</v>
      </c>
      <c r="E45" s="1" t="s">
        <v>24</v>
      </c>
      <c r="F45" s="1" t="s">
        <v>28</v>
      </c>
      <c r="G45" s="2">
        <v>44970</v>
      </c>
      <c r="H45" s="3">
        <v>356</v>
      </c>
      <c r="I45" s="3">
        <v>369</v>
      </c>
      <c r="J45" s="3">
        <v>203.43</v>
      </c>
      <c r="K45" t="str">
        <f>IF(B45="", VLOOKUP(C45, Mapping!A:B, 2, FALSE), B45)</f>
        <v>West</v>
      </c>
      <c r="L45" t="str">
        <f t="shared" si="0"/>
        <v>Electronics</v>
      </c>
      <c r="M45">
        <f>IF(H45="", AVERAGEIF(Dataset!D:D, D45, Dataset!H:H), H45)</f>
        <v>356</v>
      </c>
      <c r="N45">
        <f>IF(I45="", AVERAGEIF(Dataset!D:D, D45, Dataset!I:I), I45)</f>
        <v>369</v>
      </c>
      <c r="O45">
        <f t="shared" si="1"/>
        <v>131364</v>
      </c>
      <c r="P45">
        <f t="shared" si="2"/>
        <v>58942.92</v>
      </c>
    </row>
    <row r="46" spans="1:16" ht="29.4" thickBot="1" x14ac:dyDescent="0.35">
      <c r="A46" s="1" t="s">
        <v>73</v>
      </c>
      <c r="B46" s="1" t="s">
        <v>17</v>
      </c>
      <c r="C46" s="1" t="s">
        <v>31</v>
      </c>
      <c r="D46" s="1" t="s">
        <v>42</v>
      </c>
      <c r="E46" s="1" t="s">
        <v>14</v>
      </c>
      <c r="F46" s="1" t="s">
        <v>20</v>
      </c>
      <c r="G46" s="2">
        <v>44971</v>
      </c>
      <c r="H46" s="3">
        <v>470</v>
      </c>
      <c r="I46" s="1"/>
      <c r="J46" s="3">
        <v>94.56</v>
      </c>
      <c r="K46" t="str">
        <f>IF(B46="", VLOOKUP(C46, Mapping!A:B, 2, FALSE), B46)</f>
        <v>West</v>
      </c>
      <c r="L46" t="str">
        <f t="shared" si="0"/>
        <v>Electronics</v>
      </c>
      <c r="M46">
        <f>IF(H46="", AVERAGEIF(Dataset!D:D, D46, Dataset!H:H), H46)</f>
        <v>470</v>
      </c>
      <c r="N46">
        <f>IF(I46="", AVERAGEIF(Dataset!D:D, D46, Dataset!I:I), I46)</f>
        <v>249.16617647058828</v>
      </c>
      <c r="O46" t="str">
        <f t="shared" si="1"/>
        <v/>
      </c>
      <c r="P46">
        <f t="shared" si="2"/>
        <v>0</v>
      </c>
    </row>
    <row r="47" spans="1:16" ht="29.4" thickBot="1" x14ac:dyDescent="0.35">
      <c r="A47" s="1" t="s">
        <v>74</v>
      </c>
      <c r="B47" s="1" t="s">
        <v>17</v>
      </c>
      <c r="C47" s="1" t="s">
        <v>50</v>
      </c>
      <c r="D47" s="1" t="s">
        <v>13</v>
      </c>
      <c r="E47" s="1" t="s">
        <v>14</v>
      </c>
      <c r="F47" s="1" t="s">
        <v>28</v>
      </c>
      <c r="G47" s="2">
        <v>44972</v>
      </c>
      <c r="H47" s="3">
        <v>246</v>
      </c>
      <c r="I47" s="3">
        <v>254.9</v>
      </c>
      <c r="J47" s="3">
        <v>33.83</v>
      </c>
      <c r="K47" t="str">
        <f>IF(B47="", VLOOKUP(C47, Mapping!A:B, 2, FALSE), B47)</f>
        <v>West</v>
      </c>
      <c r="L47" t="str">
        <f t="shared" si="0"/>
        <v>Beverages</v>
      </c>
      <c r="M47">
        <f>IF(H47="", AVERAGEIF(Dataset!D:D, D47, Dataset!H:H), H47)</f>
        <v>246</v>
      </c>
      <c r="N47">
        <f>IF(I47="", AVERAGEIF(Dataset!D:D, D47, Dataset!I:I), I47)</f>
        <v>254.9</v>
      </c>
      <c r="O47">
        <f t="shared" si="1"/>
        <v>62705.4</v>
      </c>
      <c r="P47">
        <f t="shared" si="2"/>
        <v>54383.22</v>
      </c>
    </row>
    <row r="48" spans="1:16" ht="15" thickBot="1" x14ac:dyDescent="0.35">
      <c r="A48" s="1" t="s">
        <v>75</v>
      </c>
      <c r="B48" s="1" t="s">
        <v>17</v>
      </c>
      <c r="C48" s="1" t="s">
        <v>18</v>
      </c>
      <c r="D48" s="1" t="s">
        <v>23</v>
      </c>
      <c r="E48" s="1" t="s">
        <v>14</v>
      </c>
      <c r="F48" s="1" t="s">
        <v>28</v>
      </c>
      <c r="G48" s="2">
        <v>44973</v>
      </c>
      <c r="H48" s="3">
        <v>298</v>
      </c>
      <c r="I48" s="3">
        <v>273.93</v>
      </c>
      <c r="J48" s="3">
        <v>311.14</v>
      </c>
      <c r="K48" t="str">
        <f>IF(B48="", VLOOKUP(C48, Mapping!A:B, 2, FALSE), B48)</f>
        <v>West</v>
      </c>
      <c r="L48" t="str">
        <f t="shared" si="0"/>
        <v>Clothing</v>
      </c>
      <c r="M48">
        <f>IF(H48="", AVERAGEIF(Dataset!D:D, D48, Dataset!H:H), H48)</f>
        <v>298</v>
      </c>
      <c r="N48">
        <f>IF(I48="", AVERAGEIF(Dataset!D:D, D48, Dataset!I:I), I48)</f>
        <v>273.93</v>
      </c>
      <c r="O48">
        <f t="shared" si="1"/>
        <v>81631.14</v>
      </c>
      <c r="P48">
        <f t="shared" si="2"/>
        <v>0</v>
      </c>
    </row>
    <row r="49" spans="1:16" ht="29.4" thickBot="1" x14ac:dyDescent="0.35">
      <c r="A49" s="1" t="s">
        <v>76</v>
      </c>
      <c r="B49" s="1" t="s">
        <v>11</v>
      </c>
      <c r="C49" s="1" t="s">
        <v>12</v>
      </c>
      <c r="D49" s="1" t="s">
        <v>42</v>
      </c>
      <c r="E49" s="1" t="s">
        <v>24</v>
      </c>
      <c r="F49" s="1" t="s">
        <v>28</v>
      </c>
      <c r="G49" s="2">
        <v>44974</v>
      </c>
      <c r="H49" s="3">
        <v>271</v>
      </c>
      <c r="I49" s="3">
        <v>259.43</v>
      </c>
      <c r="J49" s="3">
        <v>50.57</v>
      </c>
      <c r="K49" t="str">
        <f>IF(B49="", VLOOKUP(C49, Mapping!A:B, 2, FALSE), B49)</f>
        <v>East</v>
      </c>
      <c r="L49" t="str">
        <f t="shared" si="0"/>
        <v>Electronics</v>
      </c>
      <c r="M49">
        <f>IF(H49="", AVERAGEIF(Dataset!D:D, D49, Dataset!H:H), H49)</f>
        <v>271</v>
      </c>
      <c r="N49">
        <f>IF(I49="", AVERAGEIF(Dataset!D:D, D49, Dataset!I:I), I49)</f>
        <v>259.43</v>
      </c>
      <c r="O49">
        <f t="shared" si="1"/>
        <v>70305.53</v>
      </c>
      <c r="P49">
        <f t="shared" si="2"/>
        <v>56601.060000000005</v>
      </c>
    </row>
    <row r="50" spans="1:16" ht="15" thickBot="1" x14ac:dyDescent="0.35">
      <c r="A50" s="1" t="s">
        <v>77</v>
      </c>
      <c r="B50" s="1" t="s">
        <v>48</v>
      </c>
      <c r="C50" s="1" t="s">
        <v>18</v>
      </c>
      <c r="D50" s="1" t="s">
        <v>23</v>
      </c>
      <c r="E50" s="1" t="s">
        <v>24</v>
      </c>
      <c r="F50" s="1" t="s">
        <v>15</v>
      </c>
      <c r="G50" s="2">
        <v>44975</v>
      </c>
      <c r="H50" s="3">
        <v>225</v>
      </c>
      <c r="I50" s="3">
        <v>296.08999999999997</v>
      </c>
      <c r="J50" s="3">
        <v>238.53</v>
      </c>
      <c r="K50" t="str">
        <f>IF(B50="", VLOOKUP(C50, Mapping!A:B, 2, FALSE), B50)</f>
        <v>South</v>
      </c>
      <c r="L50" t="str">
        <f t="shared" si="0"/>
        <v>Clothing</v>
      </c>
      <c r="M50">
        <f>IF(H50="", AVERAGEIF(Dataset!D:D, D50, Dataset!H:H), H50)</f>
        <v>225</v>
      </c>
      <c r="N50">
        <f>IF(I50="", AVERAGEIF(Dataset!D:D, D50, Dataset!I:I), I50)</f>
        <v>296.08999999999997</v>
      </c>
      <c r="O50">
        <f t="shared" si="1"/>
        <v>66620.25</v>
      </c>
      <c r="P50">
        <f t="shared" si="2"/>
        <v>12950.999999999995</v>
      </c>
    </row>
    <row r="51" spans="1:16" ht="15" thickBot="1" x14ac:dyDescent="0.35">
      <c r="A51" s="1" t="s">
        <v>78</v>
      </c>
      <c r="B51" s="1"/>
      <c r="C51" s="1" t="s">
        <v>12</v>
      </c>
      <c r="D51" s="1" t="s">
        <v>19</v>
      </c>
      <c r="E51" s="1" t="s">
        <v>14</v>
      </c>
      <c r="F51" s="1" t="s">
        <v>15</v>
      </c>
      <c r="G51" s="2">
        <v>44976</v>
      </c>
      <c r="H51" s="3">
        <v>156</v>
      </c>
      <c r="I51" s="3">
        <v>19.55</v>
      </c>
      <c r="J51" s="3">
        <v>374.71</v>
      </c>
      <c r="K51" t="str">
        <f>IF(B51="", VLOOKUP(C51, Mapping!A:B, 2, FALSE), B51)</f>
        <v>East</v>
      </c>
      <c r="L51" t="str">
        <f t="shared" si="0"/>
        <v>Food</v>
      </c>
      <c r="M51">
        <f>IF(H51="", AVERAGEIF(Dataset!D:D, D51, Dataset!H:H), H51)</f>
        <v>156</v>
      </c>
      <c r="N51">
        <f>IF(I51="", AVERAGEIF(Dataset!D:D, D51, Dataset!I:I), I51)</f>
        <v>19.55</v>
      </c>
      <c r="O51">
        <f t="shared" si="1"/>
        <v>3049.8</v>
      </c>
      <c r="P51">
        <f t="shared" si="2"/>
        <v>0</v>
      </c>
    </row>
    <row r="52" spans="1:16" ht="15" thickBot="1" x14ac:dyDescent="0.35">
      <c r="A52" s="1" t="s">
        <v>79</v>
      </c>
      <c r="B52" s="1" t="s">
        <v>11</v>
      </c>
      <c r="C52" s="1" t="s">
        <v>18</v>
      </c>
      <c r="D52" s="1" t="s">
        <v>27</v>
      </c>
      <c r="E52" s="1" t="s">
        <v>14</v>
      </c>
      <c r="F52" s="1" t="s">
        <v>28</v>
      </c>
      <c r="G52" s="2">
        <v>44977</v>
      </c>
      <c r="H52" s="3">
        <v>345</v>
      </c>
      <c r="I52" s="3">
        <v>200.78</v>
      </c>
      <c r="J52" s="3">
        <v>350.69</v>
      </c>
      <c r="K52" t="str">
        <f>IF(B52="", VLOOKUP(C52, Mapping!A:B, 2, FALSE), B52)</f>
        <v>East</v>
      </c>
      <c r="L52" t="str">
        <f t="shared" si="0"/>
        <v>Furniture</v>
      </c>
      <c r="M52">
        <f>IF(H52="", AVERAGEIF(Dataset!D:D, D52, Dataset!H:H), H52)</f>
        <v>345</v>
      </c>
      <c r="N52">
        <f>IF(I52="", AVERAGEIF(Dataset!D:D, D52, Dataset!I:I), I52)</f>
        <v>200.78</v>
      </c>
      <c r="O52">
        <f t="shared" si="1"/>
        <v>69269.100000000006</v>
      </c>
      <c r="P52">
        <f t="shared" si="2"/>
        <v>0</v>
      </c>
    </row>
    <row r="53" spans="1:16" ht="15" thickBot="1" x14ac:dyDescent="0.35">
      <c r="A53" s="1" t="s">
        <v>80</v>
      </c>
      <c r="B53" s="1" t="s">
        <v>48</v>
      </c>
      <c r="C53" s="1" t="s">
        <v>50</v>
      </c>
      <c r="D53" s="1" t="s">
        <v>19</v>
      </c>
      <c r="E53" s="1" t="s">
        <v>14</v>
      </c>
      <c r="F53" s="1" t="s">
        <v>20</v>
      </c>
      <c r="G53" s="2">
        <v>44978</v>
      </c>
      <c r="H53" s="3">
        <v>177</v>
      </c>
      <c r="I53" s="3">
        <v>305.06</v>
      </c>
      <c r="J53" s="3">
        <v>112.55</v>
      </c>
      <c r="K53" t="str">
        <f>IF(B53="", VLOOKUP(C53, Mapping!A:B, 2, FALSE), B53)</f>
        <v>South</v>
      </c>
      <c r="L53" t="str">
        <f t="shared" si="0"/>
        <v>Food</v>
      </c>
      <c r="M53">
        <f>IF(H53="", AVERAGEIF(Dataset!D:D, D53, Dataset!H:H), H53)</f>
        <v>177</v>
      </c>
      <c r="N53">
        <f>IF(I53="", AVERAGEIF(Dataset!D:D, D53, Dataset!I:I), I53)</f>
        <v>305.06</v>
      </c>
      <c r="O53">
        <f t="shared" si="1"/>
        <v>53995.62</v>
      </c>
      <c r="P53">
        <f t="shared" si="2"/>
        <v>34074.269999999997</v>
      </c>
    </row>
    <row r="54" spans="1:16" ht="15" thickBot="1" x14ac:dyDescent="0.35">
      <c r="A54" s="1" t="s">
        <v>81</v>
      </c>
      <c r="B54" s="1" t="s">
        <v>11</v>
      </c>
      <c r="C54" s="1" t="s">
        <v>12</v>
      </c>
      <c r="D54" s="1" t="s">
        <v>19</v>
      </c>
      <c r="E54" s="1" t="s">
        <v>24</v>
      </c>
      <c r="F54" s="1" t="s">
        <v>15</v>
      </c>
      <c r="G54" s="2">
        <v>44979</v>
      </c>
      <c r="H54" s="3">
        <v>101</v>
      </c>
      <c r="I54" s="3">
        <v>300.87</v>
      </c>
      <c r="J54" s="3">
        <v>340.88</v>
      </c>
      <c r="K54" t="str">
        <f>IF(B54="", VLOOKUP(C54, Mapping!A:B, 2, FALSE), B54)</f>
        <v>East</v>
      </c>
      <c r="L54" t="str">
        <f t="shared" si="0"/>
        <v>Food</v>
      </c>
      <c r="M54">
        <f>IF(H54="", AVERAGEIF(Dataset!D:D, D54, Dataset!H:H), H54)</f>
        <v>101</v>
      </c>
      <c r="N54">
        <f>IF(I54="", AVERAGEIF(Dataset!D:D, D54, Dataset!I:I), I54)</f>
        <v>300.87</v>
      </c>
      <c r="O54">
        <f t="shared" si="1"/>
        <v>30387.87</v>
      </c>
      <c r="P54">
        <f t="shared" si="2"/>
        <v>0</v>
      </c>
    </row>
    <row r="55" spans="1:16" ht="29.4" thickBot="1" x14ac:dyDescent="0.35">
      <c r="A55" s="1" t="s">
        <v>82</v>
      </c>
      <c r="B55" s="1" t="s">
        <v>17</v>
      </c>
      <c r="C55" s="1" t="s">
        <v>31</v>
      </c>
      <c r="D55" s="1" t="s">
        <v>13</v>
      </c>
      <c r="E55" s="1" t="s">
        <v>24</v>
      </c>
      <c r="F55" s="1" t="s">
        <v>20</v>
      </c>
      <c r="G55" s="2">
        <v>44980</v>
      </c>
      <c r="H55" s="3">
        <v>362</v>
      </c>
      <c r="I55" s="3">
        <v>397.51</v>
      </c>
      <c r="J55" s="3">
        <v>2.13</v>
      </c>
      <c r="K55" t="str">
        <f>IF(B55="", VLOOKUP(C55, Mapping!A:B, 2, FALSE), B55)</f>
        <v>West</v>
      </c>
      <c r="L55" t="str">
        <f t="shared" si="0"/>
        <v>Beverages</v>
      </c>
      <c r="M55">
        <f>IF(H55="", AVERAGEIF(Dataset!D:D, D55, Dataset!H:H), H55)</f>
        <v>362</v>
      </c>
      <c r="N55">
        <f>IF(I55="", AVERAGEIF(Dataset!D:D, D55, Dataset!I:I), I55)</f>
        <v>397.51</v>
      </c>
      <c r="O55">
        <f t="shared" si="1"/>
        <v>143898.62</v>
      </c>
      <c r="P55">
        <f t="shared" si="2"/>
        <v>143127.56</v>
      </c>
    </row>
    <row r="56" spans="1:16" ht="15" thickBot="1" x14ac:dyDescent="0.35">
      <c r="A56" s="1" t="s">
        <v>83</v>
      </c>
      <c r="B56" s="1" t="s">
        <v>11</v>
      </c>
      <c r="C56" s="1" t="s">
        <v>18</v>
      </c>
      <c r="D56" s="1" t="s">
        <v>27</v>
      </c>
      <c r="E56" s="1" t="s">
        <v>24</v>
      </c>
      <c r="F56" s="1" t="s">
        <v>28</v>
      </c>
      <c r="G56" s="2">
        <v>44981</v>
      </c>
      <c r="H56" s="3">
        <v>68</v>
      </c>
      <c r="I56" s="3">
        <v>329.23</v>
      </c>
      <c r="J56" s="3">
        <v>9.0399999999999991</v>
      </c>
      <c r="K56" t="str">
        <f>IF(B56="", VLOOKUP(C56, Mapping!A:B, 2, FALSE), B56)</f>
        <v>East</v>
      </c>
      <c r="L56" t="str">
        <f t="shared" si="0"/>
        <v>Furniture</v>
      </c>
      <c r="M56">
        <f>IF(H56="", AVERAGEIF(Dataset!D:D, D56, Dataset!H:H), H56)</f>
        <v>68</v>
      </c>
      <c r="N56">
        <f>IF(I56="", AVERAGEIF(Dataset!D:D, D56, Dataset!I:I), I56)</f>
        <v>329.23</v>
      </c>
      <c r="O56">
        <f t="shared" si="1"/>
        <v>22387.64</v>
      </c>
      <c r="P56">
        <f t="shared" si="2"/>
        <v>21772.92</v>
      </c>
    </row>
    <row r="57" spans="1:16" ht="15" thickBot="1" x14ac:dyDescent="0.35">
      <c r="A57" s="1" t="s">
        <v>84</v>
      </c>
      <c r="B57" s="1" t="s">
        <v>17</v>
      </c>
      <c r="C57" s="1" t="s">
        <v>18</v>
      </c>
      <c r="D57" s="1" t="s">
        <v>19</v>
      </c>
      <c r="E57" s="1" t="s">
        <v>24</v>
      </c>
      <c r="F57" s="1" t="s">
        <v>28</v>
      </c>
      <c r="G57" s="2">
        <v>44982</v>
      </c>
      <c r="H57" s="3">
        <v>68</v>
      </c>
      <c r="I57" s="3">
        <v>496.11</v>
      </c>
      <c r="J57" s="3">
        <v>241.82</v>
      </c>
      <c r="K57" t="str">
        <f>IF(B57="", VLOOKUP(C57, Mapping!A:B, 2, FALSE), B57)</f>
        <v>West</v>
      </c>
      <c r="L57" t="str">
        <f t="shared" si="0"/>
        <v>Food</v>
      </c>
      <c r="M57">
        <f>IF(H57="", AVERAGEIF(Dataset!D:D, D57, Dataset!H:H), H57)</f>
        <v>68</v>
      </c>
      <c r="N57">
        <f>IF(I57="", AVERAGEIF(Dataset!D:D, D57, Dataset!I:I), I57)</f>
        <v>496.11</v>
      </c>
      <c r="O57">
        <f t="shared" si="1"/>
        <v>33735.480000000003</v>
      </c>
      <c r="P57">
        <f t="shared" si="2"/>
        <v>17291.72</v>
      </c>
    </row>
    <row r="58" spans="1:16" ht="15" thickBot="1" x14ac:dyDescent="0.35">
      <c r="A58" s="1" t="s">
        <v>85</v>
      </c>
      <c r="B58" s="1" t="s">
        <v>17</v>
      </c>
      <c r="C58" s="1" t="s">
        <v>12</v>
      </c>
      <c r="D58" s="1" t="s">
        <v>19</v>
      </c>
      <c r="E58" s="1" t="s">
        <v>14</v>
      </c>
      <c r="F58" s="1" t="s">
        <v>15</v>
      </c>
      <c r="G58" s="2">
        <v>44983</v>
      </c>
      <c r="H58" s="3">
        <v>313</v>
      </c>
      <c r="I58" s="3">
        <v>145.51</v>
      </c>
      <c r="J58" s="3">
        <v>147.19</v>
      </c>
      <c r="K58" t="str">
        <f>IF(B58="", VLOOKUP(C58, Mapping!A:B, 2, FALSE), B58)</f>
        <v>West</v>
      </c>
      <c r="L58" t="str">
        <f t="shared" si="0"/>
        <v>Food</v>
      </c>
      <c r="M58">
        <f>IF(H58="", AVERAGEIF(Dataset!D:D, D58, Dataset!H:H), H58)</f>
        <v>313</v>
      </c>
      <c r="N58">
        <f>IF(I58="", AVERAGEIF(Dataset!D:D, D58, Dataset!I:I), I58)</f>
        <v>145.51</v>
      </c>
      <c r="O58">
        <f t="shared" si="1"/>
        <v>45544.63</v>
      </c>
      <c r="P58">
        <f t="shared" si="2"/>
        <v>0</v>
      </c>
    </row>
    <row r="59" spans="1:16" ht="15" thickBot="1" x14ac:dyDescent="0.35">
      <c r="A59" s="1" t="s">
        <v>86</v>
      </c>
      <c r="B59" s="1" t="s">
        <v>22</v>
      </c>
      <c r="C59" s="1" t="s">
        <v>31</v>
      </c>
      <c r="D59" s="1" t="s">
        <v>27</v>
      </c>
      <c r="E59" s="1" t="s">
        <v>14</v>
      </c>
      <c r="F59" s="1" t="s">
        <v>28</v>
      </c>
      <c r="G59" s="2">
        <v>44984</v>
      </c>
      <c r="H59" s="3">
        <v>178</v>
      </c>
      <c r="I59" s="3">
        <v>182.78</v>
      </c>
      <c r="J59" s="3">
        <v>155.81</v>
      </c>
      <c r="K59" t="str">
        <f>IF(B59="", VLOOKUP(C59, Mapping!A:B, 2, FALSE), B59)</f>
        <v>North</v>
      </c>
      <c r="L59" t="str">
        <f t="shared" si="0"/>
        <v>Furniture</v>
      </c>
      <c r="M59">
        <f>IF(H59="", AVERAGEIF(Dataset!D:D, D59, Dataset!H:H), H59)</f>
        <v>178</v>
      </c>
      <c r="N59">
        <f>IF(I59="", AVERAGEIF(Dataset!D:D, D59, Dataset!I:I), I59)</f>
        <v>182.78</v>
      </c>
      <c r="O59">
        <f t="shared" si="1"/>
        <v>32534.84</v>
      </c>
      <c r="P59">
        <f t="shared" si="2"/>
        <v>4800.66</v>
      </c>
    </row>
    <row r="60" spans="1:16" ht="15" thickBot="1" x14ac:dyDescent="0.35">
      <c r="A60" s="1" t="s">
        <v>87</v>
      </c>
      <c r="B60" s="1" t="s">
        <v>11</v>
      </c>
      <c r="C60" s="1" t="s">
        <v>31</v>
      </c>
      <c r="D60" s="1" t="s">
        <v>27</v>
      </c>
      <c r="E60" s="1" t="s">
        <v>14</v>
      </c>
      <c r="F60" s="1" t="s">
        <v>15</v>
      </c>
      <c r="G60" s="2">
        <v>44985</v>
      </c>
      <c r="H60" s="3">
        <v>278</v>
      </c>
      <c r="I60" s="3">
        <v>195</v>
      </c>
      <c r="J60" s="3">
        <v>226.65</v>
      </c>
      <c r="K60" t="str">
        <f>IF(B60="", VLOOKUP(C60, Mapping!A:B, 2, FALSE), B60)</f>
        <v>East</v>
      </c>
      <c r="L60" t="str">
        <f t="shared" si="0"/>
        <v>Furniture</v>
      </c>
      <c r="M60">
        <f>IF(H60="", AVERAGEIF(Dataset!D:D, D60, Dataset!H:H), H60)</f>
        <v>278</v>
      </c>
      <c r="N60">
        <f>IF(I60="", AVERAGEIF(Dataset!D:D, D60, Dataset!I:I), I60)</f>
        <v>195</v>
      </c>
      <c r="O60">
        <f t="shared" si="1"/>
        <v>54210</v>
      </c>
      <c r="P60">
        <f t="shared" si="2"/>
        <v>0</v>
      </c>
    </row>
    <row r="61" spans="1:16" ht="15" thickBot="1" x14ac:dyDescent="0.35">
      <c r="A61" s="1" t="s">
        <v>88</v>
      </c>
      <c r="B61" s="1" t="s">
        <v>22</v>
      </c>
      <c r="C61" s="1" t="s">
        <v>50</v>
      </c>
      <c r="D61" s="1" t="s">
        <v>19</v>
      </c>
      <c r="E61" s="1" t="s">
        <v>14</v>
      </c>
      <c r="F61" s="1" t="s">
        <v>28</v>
      </c>
      <c r="G61" s="2">
        <v>44986</v>
      </c>
      <c r="H61" s="3">
        <v>372</v>
      </c>
      <c r="I61" s="3">
        <v>235.58</v>
      </c>
      <c r="J61" s="3">
        <v>78.33</v>
      </c>
      <c r="K61" t="str">
        <f>IF(B61="", VLOOKUP(C61, Mapping!A:B, 2, FALSE), B61)</f>
        <v>North</v>
      </c>
      <c r="L61" t="str">
        <f t="shared" si="0"/>
        <v>Food</v>
      </c>
      <c r="M61">
        <f>IF(H61="", AVERAGEIF(Dataset!D:D, D61, Dataset!H:H), H61)</f>
        <v>372</v>
      </c>
      <c r="N61">
        <f>IF(I61="", AVERAGEIF(Dataset!D:D, D61, Dataset!I:I), I61)</f>
        <v>235.58</v>
      </c>
      <c r="O61">
        <f t="shared" si="1"/>
        <v>87635.760000000009</v>
      </c>
      <c r="P61">
        <f t="shared" si="2"/>
        <v>58497</v>
      </c>
    </row>
    <row r="62" spans="1:16" ht="15" thickBot="1" x14ac:dyDescent="0.35">
      <c r="A62" s="1" t="s">
        <v>89</v>
      </c>
      <c r="B62" s="1" t="s">
        <v>11</v>
      </c>
      <c r="C62" s="1" t="s">
        <v>31</v>
      </c>
      <c r="D62" s="1" t="s">
        <v>27</v>
      </c>
      <c r="E62" s="1" t="s">
        <v>24</v>
      </c>
      <c r="F62" s="1" t="s">
        <v>28</v>
      </c>
      <c r="G62" s="2">
        <v>44987</v>
      </c>
      <c r="H62" s="3">
        <v>54</v>
      </c>
      <c r="I62" s="3">
        <v>418.82</v>
      </c>
      <c r="J62" s="3">
        <v>86.28</v>
      </c>
      <c r="K62" t="str">
        <f>IF(B62="", VLOOKUP(C62, Mapping!A:B, 2, FALSE), B62)</f>
        <v>East</v>
      </c>
      <c r="L62" t="str">
        <f t="shared" si="0"/>
        <v>Furniture</v>
      </c>
      <c r="M62">
        <f>IF(H62="", AVERAGEIF(Dataset!D:D, D62, Dataset!H:H), H62)</f>
        <v>54</v>
      </c>
      <c r="N62">
        <f>IF(I62="", AVERAGEIF(Dataset!D:D, D62, Dataset!I:I), I62)</f>
        <v>418.82</v>
      </c>
      <c r="O62">
        <f t="shared" si="1"/>
        <v>22616.28</v>
      </c>
      <c r="P62">
        <f t="shared" si="2"/>
        <v>17957.159999999996</v>
      </c>
    </row>
    <row r="63" spans="1:16" ht="15" thickBot="1" x14ac:dyDescent="0.35">
      <c r="A63" s="1" t="s">
        <v>90</v>
      </c>
      <c r="B63" s="1" t="s">
        <v>11</v>
      </c>
      <c r="C63" s="1" t="s">
        <v>31</v>
      </c>
      <c r="D63" s="1" t="s">
        <v>19</v>
      </c>
      <c r="E63" s="1" t="s">
        <v>24</v>
      </c>
      <c r="F63" s="1" t="s">
        <v>15</v>
      </c>
      <c r="G63" s="2">
        <v>44988</v>
      </c>
      <c r="H63" s="3">
        <v>354</v>
      </c>
      <c r="I63" s="3">
        <v>121.72</v>
      </c>
      <c r="J63" s="3">
        <v>194.87</v>
      </c>
      <c r="K63" t="str">
        <f>IF(B63="", VLOOKUP(C63, Mapping!A:B, 2, FALSE), B63)</f>
        <v>East</v>
      </c>
      <c r="L63" t="str">
        <f t="shared" si="0"/>
        <v>Food</v>
      </c>
      <c r="M63">
        <f>IF(H63="", AVERAGEIF(Dataset!D:D, D63, Dataset!H:H), H63)</f>
        <v>354</v>
      </c>
      <c r="N63">
        <f>IF(I63="", AVERAGEIF(Dataset!D:D, D63, Dataset!I:I), I63)</f>
        <v>121.72</v>
      </c>
      <c r="O63">
        <f t="shared" si="1"/>
        <v>43088.88</v>
      </c>
      <c r="P63">
        <f t="shared" si="2"/>
        <v>0</v>
      </c>
    </row>
    <row r="64" spans="1:16" ht="15" thickBot="1" x14ac:dyDescent="0.35">
      <c r="A64" s="1" t="s">
        <v>91</v>
      </c>
      <c r="B64" s="1" t="s">
        <v>22</v>
      </c>
      <c r="C64" s="1" t="s">
        <v>31</v>
      </c>
      <c r="D64" s="1" t="s">
        <v>19</v>
      </c>
      <c r="E64" s="1" t="s">
        <v>14</v>
      </c>
      <c r="F64" s="1" t="s">
        <v>15</v>
      </c>
      <c r="G64" s="2">
        <v>44989</v>
      </c>
      <c r="H64" s="3">
        <v>190</v>
      </c>
      <c r="I64" s="3">
        <v>389.12</v>
      </c>
      <c r="J64" s="3">
        <v>302.19</v>
      </c>
      <c r="K64" t="str">
        <f>IF(B64="", VLOOKUP(C64, Mapping!A:B, 2, FALSE), B64)</f>
        <v>North</v>
      </c>
      <c r="L64" t="str">
        <f t="shared" si="0"/>
        <v>Food</v>
      </c>
      <c r="M64">
        <f>IF(H64="", AVERAGEIF(Dataset!D:D, D64, Dataset!H:H), H64)</f>
        <v>190</v>
      </c>
      <c r="N64">
        <f>IF(I64="", AVERAGEIF(Dataset!D:D, D64, Dataset!I:I), I64)</f>
        <v>389.12</v>
      </c>
      <c r="O64">
        <f t="shared" si="1"/>
        <v>73932.800000000003</v>
      </c>
      <c r="P64">
        <f t="shared" si="2"/>
        <v>16516.7</v>
      </c>
    </row>
    <row r="65" spans="1:16" ht="29.4" thickBot="1" x14ac:dyDescent="0.35">
      <c r="A65" s="1" t="s">
        <v>92</v>
      </c>
      <c r="B65" s="1"/>
      <c r="C65" s="1" t="s">
        <v>26</v>
      </c>
      <c r="D65" s="1" t="s">
        <v>13</v>
      </c>
      <c r="E65" s="1" t="s">
        <v>14</v>
      </c>
      <c r="F65" s="1" t="s">
        <v>15</v>
      </c>
      <c r="G65" s="2">
        <v>44990</v>
      </c>
      <c r="H65" s="3">
        <v>179</v>
      </c>
      <c r="I65" s="3">
        <v>205.63</v>
      </c>
      <c r="J65" s="3">
        <v>248.56</v>
      </c>
      <c r="K65" t="str">
        <f>IF(B65="", VLOOKUP(C65, Mapping!A:B, 2, FALSE), B65)</f>
        <v>East</v>
      </c>
      <c r="L65" t="str">
        <f t="shared" si="0"/>
        <v>Beverages</v>
      </c>
      <c r="M65">
        <f>IF(H65="", AVERAGEIF(Dataset!D:D, D65, Dataset!H:H), H65)</f>
        <v>179</v>
      </c>
      <c r="N65">
        <f>IF(I65="", AVERAGEIF(Dataset!D:D, D65, Dataset!I:I), I65)</f>
        <v>205.63</v>
      </c>
      <c r="O65">
        <f t="shared" si="1"/>
        <v>36807.769999999997</v>
      </c>
      <c r="P65">
        <f t="shared" si="2"/>
        <v>0</v>
      </c>
    </row>
    <row r="66" spans="1:16" ht="29.4" thickBot="1" x14ac:dyDescent="0.35">
      <c r="A66" s="1" t="s">
        <v>93</v>
      </c>
      <c r="B66" s="1" t="s">
        <v>11</v>
      </c>
      <c r="C66" s="1" t="s">
        <v>50</v>
      </c>
      <c r="D66" s="1" t="s">
        <v>42</v>
      </c>
      <c r="E66" s="1" t="s">
        <v>24</v>
      </c>
      <c r="F66" s="1" t="s">
        <v>28</v>
      </c>
      <c r="G66" s="2">
        <v>44991</v>
      </c>
      <c r="H66" s="3">
        <v>365</v>
      </c>
      <c r="I66" s="3">
        <v>302.92</v>
      </c>
      <c r="J66" s="3">
        <v>120.35</v>
      </c>
      <c r="K66" t="str">
        <f>IF(B66="", VLOOKUP(C66, Mapping!A:B, 2, FALSE), B66)</f>
        <v>East</v>
      </c>
      <c r="L66" t="str">
        <f t="shared" si="0"/>
        <v>Electronics</v>
      </c>
      <c r="M66">
        <f>IF(H66="", AVERAGEIF(Dataset!D:D, D66, Dataset!H:H), H66)</f>
        <v>365</v>
      </c>
      <c r="N66">
        <f>IF(I66="", AVERAGEIF(Dataset!D:D, D66, Dataset!I:I), I66)</f>
        <v>302.92</v>
      </c>
      <c r="O66">
        <f t="shared" si="1"/>
        <v>110565.8</v>
      </c>
      <c r="P66">
        <f t="shared" si="2"/>
        <v>66638.05</v>
      </c>
    </row>
    <row r="67" spans="1:16" ht="15" thickBot="1" x14ac:dyDescent="0.35">
      <c r="A67" s="1" t="s">
        <v>94</v>
      </c>
      <c r="B67" s="1" t="s">
        <v>48</v>
      </c>
      <c r="C67" s="1" t="s">
        <v>18</v>
      </c>
      <c r="D67" s="1" t="s">
        <v>19</v>
      </c>
      <c r="E67" s="1" t="s">
        <v>14</v>
      </c>
      <c r="F67" s="1" t="s">
        <v>28</v>
      </c>
      <c r="G67" s="2">
        <v>44992</v>
      </c>
      <c r="H67" s="3">
        <v>200</v>
      </c>
      <c r="I67" s="3">
        <v>318.11</v>
      </c>
      <c r="J67" s="3">
        <v>173.27</v>
      </c>
      <c r="K67" t="str">
        <f>IF(B67="", VLOOKUP(C67, Mapping!A:B, 2, FALSE), B67)</f>
        <v>South</v>
      </c>
      <c r="L67" t="str">
        <f t="shared" ref="L67:L130" si="3">IF(D67="", IF(H67&lt;100,"Clothing", IF(H67&lt;=250,"Food", IF(H67&lt;=400,"Furniture","Electronics"))), D67)</f>
        <v>Food</v>
      </c>
      <c r="M67">
        <f>IF(H67="", AVERAGEIF(Dataset!D:D, D67, Dataset!H:H), H67)</f>
        <v>200</v>
      </c>
      <c r="N67">
        <f>IF(I67="", AVERAGEIF(Dataset!D:D, D67, Dataset!I:I), I67)</f>
        <v>318.11</v>
      </c>
      <c r="O67">
        <f t="shared" ref="O67:O130" si="4">IF(OR(H67="",I67=""),"",H67*I67)</f>
        <v>63622</v>
      </c>
      <c r="P67">
        <f t="shared" ref="P67:P130" si="5">MAX(0, H67*(I67-J67))</f>
        <v>28968</v>
      </c>
    </row>
    <row r="68" spans="1:16" ht="15" thickBot="1" x14ac:dyDescent="0.35">
      <c r="A68" s="1" t="s">
        <v>95</v>
      </c>
      <c r="B68" s="1" t="s">
        <v>17</v>
      </c>
      <c r="C68" s="1" t="s">
        <v>12</v>
      </c>
      <c r="D68" s="1" t="s">
        <v>23</v>
      </c>
      <c r="E68" s="1" t="s">
        <v>24</v>
      </c>
      <c r="F68" s="1" t="s">
        <v>20</v>
      </c>
      <c r="G68" s="2">
        <v>44993</v>
      </c>
      <c r="H68" s="3">
        <v>164</v>
      </c>
      <c r="I68" s="3">
        <v>189.56</v>
      </c>
      <c r="J68" s="3">
        <v>69.92</v>
      </c>
      <c r="K68" t="str">
        <f>IF(B68="", VLOOKUP(C68, Mapping!A:B, 2, FALSE), B68)</f>
        <v>West</v>
      </c>
      <c r="L68" t="str">
        <f t="shared" si="3"/>
        <v>Clothing</v>
      </c>
      <c r="M68">
        <f>IF(H68="", AVERAGEIF(Dataset!D:D, D68, Dataset!H:H), H68)</f>
        <v>164</v>
      </c>
      <c r="N68">
        <f>IF(I68="", AVERAGEIF(Dataset!D:D, D68, Dataset!I:I), I68)</f>
        <v>189.56</v>
      </c>
      <c r="O68">
        <f t="shared" si="4"/>
        <v>31087.84</v>
      </c>
      <c r="P68">
        <f t="shared" si="5"/>
        <v>19620.96</v>
      </c>
    </row>
    <row r="69" spans="1:16" ht="29.4" thickBot="1" x14ac:dyDescent="0.35">
      <c r="A69" s="1" t="s">
        <v>96</v>
      </c>
      <c r="B69" s="1" t="s">
        <v>22</v>
      </c>
      <c r="C69" s="1" t="s">
        <v>18</v>
      </c>
      <c r="D69" s="1" t="s">
        <v>42</v>
      </c>
      <c r="E69" s="1" t="s">
        <v>14</v>
      </c>
      <c r="F69" s="1" t="s">
        <v>15</v>
      </c>
      <c r="G69" s="2">
        <v>44994</v>
      </c>
      <c r="H69" s="3">
        <v>431</v>
      </c>
      <c r="I69" s="3">
        <v>258.74</v>
      </c>
      <c r="J69" s="3">
        <v>31.7</v>
      </c>
      <c r="K69" t="str">
        <f>IF(B69="", VLOOKUP(C69, Mapping!A:B, 2, FALSE), B69)</f>
        <v>North</v>
      </c>
      <c r="L69" t="str">
        <f t="shared" si="3"/>
        <v>Electronics</v>
      </c>
      <c r="M69">
        <f>IF(H69="", AVERAGEIF(Dataset!D:D, D69, Dataset!H:H), H69)</f>
        <v>431</v>
      </c>
      <c r="N69">
        <f>IF(I69="", AVERAGEIF(Dataset!D:D, D69, Dataset!I:I), I69)</f>
        <v>258.74</v>
      </c>
      <c r="O69">
        <f t="shared" si="4"/>
        <v>111516.94</v>
      </c>
      <c r="P69">
        <f t="shared" si="5"/>
        <v>97854.24</v>
      </c>
    </row>
    <row r="70" spans="1:16" ht="29.4" thickBot="1" x14ac:dyDescent="0.35">
      <c r="A70" s="1" t="s">
        <v>97</v>
      </c>
      <c r="B70" s="1" t="s">
        <v>17</v>
      </c>
      <c r="C70" s="1" t="s">
        <v>50</v>
      </c>
      <c r="D70" s="1" t="s">
        <v>42</v>
      </c>
      <c r="E70" s="1" t="s">
        <v>14</v>
      </c>
      <c r="F70" s="1" t="s">
        <v>28</v>
      </c>
      <c r="G70" s="2">
        <v>44995</v>
      </c>
      <c r="H70" s="3">
        <v>197</v>
      </c>
      <c r="I70" s="3">
        <v>209.45</v>
      </c>
      <c r="J70" s="3">
        <v>313.51</v>
      </c>
      <c r="K70" t="str">
        <f>IF(B70="", VLOOKUP(C70, Mapping!A:B, 2, FALSE), B70)</f>
        <v>West</v>
      </c>
      <c r="L70" t="str">
        <f t="shared" si="3"/>
        <v>Electronics</v>
      </c>
      <c r="M70">
        <f>IF(H70="", AVERAGEIF(Dataset!D:D, D70, Dataset!H:H), H70)</f>
        <v>197</v>
      </c>
      <c r="N70">
        <f>IF(I70="", AVERAGEIF(Dataset!D:D, D70, Dataset!I:I), I70)</f>
        <v>209.45</v>
      </c>
      <c r="O70">
        <f t="shared" si="4"/>
        <v>41261.649999999994</v>
      </c>
      <c r="P70">
        <f t="shared" si="5"/>
        <v>0</v>
      </c>
    </row>
    <row r="71" spans="1:16" ht="29.4" thickBot="1" x14ac:dyDescent="0.35">
      <c r="A71" s="1" t="s">
        <v>98</v>
      </c>
      <c r="B71" s="1" t="s">
        <v>48</v>
      </c>
      <c r="C71" s="1" t="s">
        <v>12</v>
      </c>
      <c r="D71" s="1" t="s">
        <v>42</v>
      </c>
      <c r="E71" s="1" t="s">
        <v>14</v>
      </c>
      <c r="F71" s="1" t="s">
        <v>28</v>
      </c>
      <c r="G71" s="2">
        <v>44996</v>
      </c>
      <c r="H71" s="3">
        <v>16</v>
      </c>
      <c r="I71" s="3">
        <v>39.22</v>
      </c>
      <c r="J71" s="3">
        <v>107.62</v>
      </c>
      <c r="K71" t="str">
        <f>IF(B71="", VLOOKUP(C71, Mapping!A:B, 2, FALSE), B71)</f>
        <v>South</v>
      </c>
      <c r="L71" t="str">
        <f t="shared" si="3"/>
        <v>Electronics</v>
      </c>
      <c r="M71">
        <f>IF(H71="", AVERAGEIF(Dataset!D:D, D71, Dataset!H:H), H71)</f>
        <v>16</v>
      </c>
      <c r="N71">
        <f>IF(I71="", AVERAGEIF(Dataset!D:D, D71, Dataset!I:I), I71)</f>
        <v>39.22</v>
      </c>
      <c r="O71">
        <f t="shared" si="4"/>
        <v>627.52</v>
      </c>
      <c r="P71">
        <f t="shared" si="5"/>
        <v>0</v>
      </c>
    </row>
    <row r="72" spans="1:16" ht="29.4" thickBot="1" x14ac:dyDescent="0.35">
      <c r="A72" s="1" t="s">
        <v>99</v>
      </c>
      <c r="B72" s="1" t="s">
        <v>48</v>
      </c>
      <c r="C72" s="1" t="s">
        <v>50</v>
      </c>
      <c r="D72" s="1" t="s">
        <v>13</v>
      </c>
      <c r="E72" s="1" t="s">
        <v>14</v>
      </c>
      <c r="F72" s="1" t="s">
        <v>15</v>
      </c>
      <c r="G72" s="2">
        <v>44997</v>
      </c>
      <c r="H72" s="3">
        <v>142</v>
      </c>
      <c r="I72" s="3">
        <v>221.4</v>
      </c>
      <c r="J72" s="3">
        <v>72.75</v>
      </c>
      <c r="K72" t="str">
        <f>IF(B72="", VLOOKUP(C72, Mapping!A:B, 2, FALSE), B72)</f>
        <v>South</v>
      </c>
      <c r="L72" t="str">
        <f t="shared" si="3"/>
        <v>Beverages</v>
      </c>
      <c r="M72">
        <f>IF(H72="", AVERAGEIF(Dataset!D:D, D72, Dataset!H:H), H72)</f>
        <v>142</v>
      </c>
      <c r="N72">
        <f>IF(I72="", AVERAGEIF(Dataset!D:D, D72, Dataset!I:I), I72)</f>
        <v>221.4</v>
      </c>
      <c r="O72">
        <f t="shared" si="4"/>
        <v>31438.799999999999</v>
      </c>
      <c r="P72">
        <f t="shared" si="5"/>
        <v>21108.3</v>
      </c>
    </row>
    <row r="73" spans="1:16" ht="15" thickBot="1" x14ac:dyDescent="0.35">
      <c r="A73" s="1" t="s">
        <v>100</v>
      </c>
      <c r="B73" s="1" t="s">
        <v>48</v>
      </c>
      <c r="C73" s="1" t="s">
        <v>31</v>
      </c>
      <c r="D73" s="1" t="s">
        <v>19</v>
      </c>
      <c r="E73" s="1" t="s">
        <v>14</v>
      </c>
      <c r="F73" s="1" t="s">
        <v>20</v>
      </c>
      <c r="G73" s="2">
        <v>44998</v>
      </c>
      <c r="H73" s="3">
        <v>244</v>
      </c>
      <c r="I73" s="3">
        <v>53.21</v>
      </c>
      <c r="J73" s="3">
        <v>277.26</v>
      </c>
      <c r="K73" t="str">
        <f>IF(B73="", VLOOKUP(C73, Mapping!A:B, 2, FALSE), B73)</f>
        <v>South</v>
      </c>
      <c r="L73" t="str">
        <f t="shared" si="3"/>
        <v>Food</v>
      </c>
      <c r="M73">
        <f>IF(H73="", AVERAGEIF(Dataset!D:D, D73, Dataset!H:H), H73)</f>
        <v>244</v>
      </c>
      <c r="N73">
        <f>IF(I73="", AVERAGEIF(Dataset!D:D, D73, Dataset!I:I), I73)</f>
        <v>53.21</v>
      </c>
      <c r="O73">
        <f t="shared" si="4"/>
        <v>12983.24</v>
      </c>
      <c r="P73">
        <f t="shared" si="5"/>
        <v>0</v>
      </c>
    </row>
    <row r="74" spans="1:16" ht="29.4" thickBot="1" x14ac:dyDescent="0.35">
      <c r="A74" s="1" t="s">
        <v>101</v>
      </c>
      <c r="B74" s="1" t="s">
        <v>22</v>
      </c>
      <c r="C74" s="1" t="s">
        <v>12</v>
      </c>
      <c r="D74" s="1" t="s">
        <v>13</v>
      </c>
      <c r="E74" s="1" t="s">
        <v>14</v>
      </c>
      <c r="F74" s="1" t="s">
        <v>15</v>
      </c>
      <c r="G74" s="2">
        <v>44999</v>
      </c>
      <c r="H74" s="3">
        <v>54</v>
      </c>
      <c r="I74" s="3">
        <v>205.49</v>
      </c>
      <c r="J74" s="3">
        <v>247.98</v>
      </c>
      <c r="K74" t="str">
        <f>IF(B74="", VLOOKUP(C74, Mapping!A:B, 2, FALSE), B74)</f>
        <v>North</v>
      </c>
      <c r="L74" t="str">
        <f t="shared" si="3"/>
        <v>Beverages</v>
      </c>
      <c r="M74">
        <f>IF(H74="", AVERAGEIF(Dataset!D:D, D74, Dataset!H:H), H74)</f>
        <v>54</v>
      </c>
      <c r="N74">
        <f>IF(I74="", AVERAGEIF(Dataset!D:D, D74, Dataset!I:I), I74)</f>
        <v>205.49</v>
      </c>
      <c r="O74">
        <f t="shared" si="4"/>
        <v>11096.460000000001</v>
      </c>
      <c r="P74">
        <f t="shared" si="5"/>
        <v>0</v>
      </c>
    </row>
    <row r="75" spans="1:16" ht="15" thickBot="1" x14ac:dyDescent="0.35">
      <c r="A75" s="1" t="s">
        <v>102</v>
      </c>
      <c r="B75" s="1" t="s">
        <v>48</v>
      </c>
      <c r="C75" s="1" t="s">
        <v>31</v>
      </c>
      <c r="D75" s="1" t="s">
        <v>19</v>
      </c>
      <c r="E75" s="1" t="s">
        <v>14</v>
      </c>
      <c r="F75" s="1" t="s">
        <v>20</v>
      </c>
      <c r="G75" s="2">
        <v>45000</v>
      </c>
      <c r="H75" s="3">
        <v>323</v>
      </c>
      <c r="I75" s="3">
        <v>298.49</v>
      </c>
      <c r="J75" s="3">
        <v>254.01</v>
      </c>
      <c r="K75" t="str">
        <f>IF(B75="", VLOOKUP(C75, Mapping!A:B, 2, FALSE), B75)</f>
        <v>South</v>
      </c>
      <c r="L75" t="str">
        <f t="shared" si="3"/>
        <v>Food</v>
      </c>
      <c r="M75">
        <f>IF(H75="", AVERAGEIF(Dataset!D:D, D75, Dataset!H:H), H75)</f>
        <v>323</v>
      </c>
      <c r="N75">
        <f>IF(I75="", AVERAGEIF(Dataset!D:D, D75, Dataset!I:I), I75)</f>
        <v>298.49</v>
      </c>
      <c r="O75">
        <f t="shared" si="4"/>
        <v>96412.27</v>
      </c>
      <c r="P75">
        <f t="shared" si="5"/>
        <v>14367.040000000006</v>
      </c>
    </row>
    <row r="76" spans="1:16" ht="29.4" thickBot="1" x14ac:dyDescent="0.35">
      <c r="A76" s="1" t="s">
        <v>103</v>
      </c>
      <c r="B76" s="1" t="s">
        <v>22</v>
      </c>
      <c r="C76" s="1" t="s">
        <v>18</v>
      </c>
      <c r="D76" s="1" t="s">
        <v>13</v>
      </c>
      <c r="E76" s="1" t="s">
        <v>24</v>
      </c>
      <c r="F76" s="1" t="s">
        <v>28</v>
      </c>
      <c r="G76" s="2">
        <v>45001</v>
      </c>
      <c r="H76" s="3">
        <v>258</v>
      </c>
      <c r="I76" s="3">
        <v>291.81</v>
      </c>
      <c r="J76" s="3">
        <v>93.1</v>
      </c>
      <c r="K76" t="str">
        <f>IF(B76="", VLOOKUP(C76, Mapping!A:B, 2, FALSE), B76)</f>
        <v>North</v>
      </c>
      <c r="L76" t="str">
        <f t="shared" si="3"/>
        <v>Beverages</v>
      </c>
      <c r="M76">
        <f>IF(H76="", AVERAGEIF(Dataset!D:D, D76, Dataset!H:H), H76)</f>
        <v>258</v>
      </c>
      <c r="N76">
        <f>IF(I76="", AVERAGEIF(Dataset!D:D, D76, Dataset!I:I), I76)</f>
        <v>291.81</v>
      </c>
      <c r="O76">
        <f t="shared" si="4"/>
        <v>75286.98</v>
      </c>
      <c r="P76">
        <f t="shared" si="5"/>
        <v>51267.18</v>
      </c>
    </row>
    <row r="77" spans="1:16" ht="29.4" thickBot="1" x14ac:dyDescent="0.35">
      <c r="A77" s="1" t="s">
        <v>104</v>
      </c>
      <c r="B77" s="1" t="s">
        <v>48</v>
      </c>
      <c r="C77" s="1" t="s">
        <v>18</v>
      </c>
      <c r="D77" s="1" t="s">
        <v>13</v>
      </c>
      <c r="E77" s="1" t="s">
        <v>24</v>
      </c>
      <c r="F77" s="1" t="s">
        <v>20</v>
      </c>
      <c r="G77" s="2">
        <v>45002</v>
      </c>
      <c r="H77" s="3">
        <v>40</v>
      </c>
      <c r="I77" s="3">
        <v>333</v>
      </c>
      <c r="J77" s="3">
        <v>94.59</v>
      </c>
      <c r="K77" t="str">
        <f>IF(B77="", VLOOKUP(C77, Mapping!A:B, 2, FALSE), B77)</f>
        <v>South</v>
      </c>
      <c r="L77" t="str">
        <f t="shared" si="3"/>
        <v>Beverages</v>
      </c>
      <c r="M77">
        <f>IF(H77="", AVERAGEIF(Dataset!D:D, D77, Dataset!H:H), H77)</f>
        <v>40</v>
      </c>
      <c r="N77">
        <f>IF(I77="", AVERAGEIF(Dataset!D:D, D77, Dataset!I:I), I77)</f>
        <v>333</v>
      </c>
      <c r="O77">
        <f t="shared" si="4"/>
        <v>13320</v>
      </c>
      <c r="P77">
        <f t="shared" si="5"/>
        <v>9536.4</v>
      </c>
    </row>
    <row r="78" spans="1:16" ht="15" thickBot="1" x14ac:dyDescent="0.35">
      <c r="A78" s="1" t="s">
        <v>105</v>
      </c>
      <c r="B78" s="1" t="s">
        <v>17</v>
      </c>
      <c r="C78" s="1" t="s">
        <v>12</v>
      </c>
      <c r="D78" s="1" t="s">
        <v>23</v>
      </c>
      <c r="E78" s="1" t="s">
        <v>24</v>
      </c>
      <c r="F78" s="1" t="s">
        <v>28</v>
      </c>
      <c r="G78" s="2">
        <v>45003</v>
      </c>
      <c r="H78" s="3">
        <v>32</v>
      </c>
      <c r="I78" s="3">
        <v>52.15</v>
      </c>
      <c r="J78" s="3">
        <v>89.88</v>
      </c>
      <c r="K78" t="str">
        <f>IF(B78="", VLOOKUP(C78, Mapping!A:B, 2, FALSE), B78)</f>
        <v>West</v>
      </c>
      <c r="L78" t="str">
        <f t="shared" si="3"/>
        <v>Clothing</v>
      </c>
      <c r="M78">
        <f>IF(H78="", AVERAGEIF(Dataset!D:D, D78, Dataset!H:H), H78)</f>
        <v>32</v>
      </c>
      <c r="N78">
        <f>IF(I78="", AVERAGEIF(Dataset!D:D, D78, Dataset!I:I), I78)</f>
        <v>52.15</v>
      </c>
      <c r="O78">
        <f t="shared" si="4"/>
        <v>1668.8</v>
      </c>
      <c r="P78">
        <f t="shared" si="5"/>
        <v>0</v>
      </c>
    </row>
    <row r="79" spans="1:16" ht="29.4" thickBot="1" x14ac:dyDescent="0.35">
      <c r="A79" s="1" t="s">
        <v>106</v>
      </c>
      <c r="B79" s="1" t="s">
        <v>17</v>
      </c>
      <c r="C79" s="1" t="s">
        <v>12</v>
      </c>
      <c r="D79" s="1" t="s">
        <v>13</v>
      </c>
      <c r="E79" s="1" t="s">
        <v>24</v>
      </c>
      <c r="F79" s="1" t="s">
        <v>15</v>
      </c>
      <c r="G79" s="2">
        <v>45004</v>
      </c>
      <c r="H79" s="3">
        <v>435</v>
      </c>
      <c r="I79" s="3">
        <v>327.8</v>
      </c>
      <c r="J79" s="3">
        <v>71.150000000000006</v>
      </c>
      <c r="K79" t="str">
        <f>IF(B79="", VLOOKUP(C79, Mapping!A:B, 2, FALSE), B79)</f>
        <v>West</v>
      </c>
      <c r="L79" t="str">
        <f t="shared" si="3"/>
        <v>Beverages</v>
      </c>
      <c r="M79">
        <f>IF(H79="", AVERAGEIF(Dataset!D:D, D79, Dataset!H:H), H79)</f>
        <v>435</v>
      </c>
      <c r="N79">
        <f>IF(I79="", AVERAGEIF(Dataset!D:D, D79, Dataset!I:I), I79)</f>
        <v>327.8</v>
      </c>
      <c r="O79">
        <f t="shared" si="4"/>
        <v>142593</v>
      </c>
      <c r="P79">
        <f t="shared" si="5"/>
        <v>111642.74999999999</v>
      </c>
    </row>
    <row r="80" spans="1:16" ht="15" thickBot="1" x14ac:dyDescent="0.35">
      <c r="A80" s="1" t="s">
        <v>107</v>
      </c>
      <c r="B80" s="1" t="s">
        <v>11</v>
      </c>
      <c r="C80" s="1" t="s">
        <v>50</v>
      </c>
      <c r="D80" s="1" t="s">
        <v>27</v>
      </c>
      <c r="E80" s="1" t="s">
        <v>24</v>
      </c>
      <c r="F80" s="1" t="s">
        <v>15</v>
      </c>
      <c r="G80" s="2">
        <v>45005</v>
      </c>
      <c r="H80" s="3">
        <v>403</v>
      </c>
      <c r="I80" s="3">
        <v>159.51</v>
      </c>
      <c r="J80" s="3">
        <v>262.98</v>
      </c>
      <c r="K80" t="str">
        <f>IF(B80="", VLOOKUP(C80, Mapping!A:B, 2, FALSE), B80)</f>
        <v>East</v>
      </c>
      <c r="L80" t="str">
        <f t="shared" si="3"/>
        <v>Furniture</v>
      </c>
      <c r="M80">
        <f>IF(H80="", AVERAGEIF(Dataset!D:D, D80, Dataset!H:H), H80)</f>
        <v>403</v>
      </c>
      <c r="N80">
        <f>IF(I80="", AVERAGEIF(Dataset!D:D, D80, Dataset!I:I), I80)</f>
        <v>159.51</v>
      </c>
      <c r="O80">
        <f t="shared" si="4"/>
        <v>64282.53</v>
      </c>
      <c r="P80">
        <f t="shared" si="5"/>
        <v>0</v>
      </c>
    </row>
    <row r="81" spans="1:16" ht="15" thickBot="1" x14ac:dyDescent="0.35">
      <c r="A81" s="1" t="s">
        <v>108</v>
      </c>
      <c r="B81" s="1" t="s">
        <v>17</v>
      </c>
      <c r="C81" s="1" t="s">
        <v>50</v>
      </c>
      <c r="D81" s="1" t="s">
        <v>23</v>
      </c>
      <c r="E81" s="1" t="s">
        <v>14</v>
      </c>
      <c r="F81" s="1" t="s">
        <v>15</v>
      </c>
      <c r="G81" s="2">
        <v>45006</v>
      </c>
      <c r="H81" s="3">
        <v>169</v>
      </c>
      <c r="I81" s="1"/>
      <c r="J81" s="3">
        <v>339.51</v>
      </c>
      <c r="K81" t="str">
        <f>IF(B81="", VLOOKUP(C81, Mapping!A:B, 2, FALSE), B81)</f>
        <v>West</v>
      </c>
      <c r="L81" t="str">
        <f t="shared" si="3"/>
        <v>Clothing</v>
      </c>
      <c r="M81">
        <f>IF(H81="", AVERAGEIF(Dataset!D:D, D81, Dataset!H:H), H81)</f>
        <v>169</v>
      </c>
      <c r="N81">
        <f>IF(I81="", AVERAGEIF(Dataset!D:D, D81, Dataset!I:I), I81)</f>
        <v>245.33323076923077</v>
      </c>
      <c r="O81" t="str">
        <f t="shared" si="4"/>
        <v/>
      </c>
      <c r="P81">
        <f t="shared" si="5"/>
        <v>0</v>
      </c>
    </row>
    <row r="82" spans="1:16" ht="29.4" thickBot="1" x14ac:dyDescent="0.35">
      <c r="A82" s="1" t="s">
        <v>109</v>
      </c>
      <c r="B82" s="1" t="s">
        <v>11</v>
      </c>
      <c r="C82" s="1" t="s">
        <v>31</v>
      </c>
      <c r="D82" s="1" t="s">
        <v>13</v>
      </c>
      <c r="E82" s="1" t="s">
        <v>14</v>
      </c>
      <c r="F82" s="1" t="s">
        <v>20</v>
      </c>
      <c r="G82" s="2">
        <v>45007</v>
      </c>
      <c r="H82" s="3">
        <v>372</v>
      </c>
      <c r="I82" s="3">
        <v>429.7</v>
      </c>
      <c r="J82" s="3">
        <v>290.27999999999997</v>
      </c>
      <c r="K82" t="str">
        <f>IF(B82="", VLOOKUP(C82, Mapping!A:B, 2, FALSE), B82)</f>
        <v>East</v>
      </c>
      <c r="L82" t="str">
        <f t="shared" si="3"/>
        <v>Beverages</v>
      </c>
      <c r="M82">
        <f>IF(H82="", AVERAGEIF(Dataset!D:D, D82, Dataset!H:H), H82)</f>
        <v>372</v>
      </c>
      <c r="N82">
        <f>IF(I82="", AVERAGEIF(Dataset!D:D, D82, Dataset!I:I), I82)</f>
        <v>429.7</v>
      </c>
      <c r="O82">
        <f t="shared" si="4"/>
        <v>159848.4</v>
      </c>
      <c r="P82">
        <f t="shared" si="5"/>
        <v>51864.240000000005</v>
      </c>
    </row>
    <row r="83" spans="1:16" ht="29.4" thickBot="1" x14ac:dyDescent="0.35">
      <c r="A83" s="1" t="s">
        <v>110</v>
      </c>
      <c r="B83" s="1" t="s">
        <v>17</v>
      </c>
      <c r="C83" s="1" t="s">
        <v>12</v>
      </c>
      <c r="D83" s="1" t="s">
        <v>42</v>
      </c>
      <c r="E83" s="1" t="s">
        <v>24</v>
      </c>
      <c r="F83" s="1" t="s">
        <v>28</v>
      </c>
      <c r="G83" s="2">
        <v>45008</v>
      </c>
      <c r="H83" s="3">
        <v>446</v>
      </c>
      <c r="I83" s="3">
        <v>9.4700000000000006</v>
      </c>
      <c r="J83" s="3">
        <v>317.25</v>
      </c>
      <c r="K83" t="str">
        <f>IF(B83="", VLOOKUP(C83, Mapping!A:B, 2, FALSE), B83)</f>
        <v>West</v>
      </c>
      <c r="L83" t="str">
        <f t="shared" si="3"/>
        <v>Electronics</v>
      </c>
      <c r="M83">
        <f>IF(H83="", AVERAGEIF(Dataset!D:D, D83, Dataset!H:H), H83)</f>
        <v>446</v>
      </c>
      <c r="N83">
        <f>IF(I83="", AVERAGEIF(Dataset!D:D, D83, Dataset!I:I), I83)</f>
        <v>9.4700000000000006</v>
      </c>
      <c r="O83">
        <f t="shared" si="4"/>
        <v>4223.62</v>
      </c>
      <c r="P83">
        <f t="shared" si="5"/>
        <v>0</v>
      </c>
    </row>
    <row r="84" spans="1:16" ht="15" thickBot="1" x14ac:dyDescent="0.35">
      <c r="A84" s="1" t="s">
        <v>111</v>
      </c>
      <c r="B84" s="1" t="s">
        <v>22</v>
      </c>
      <c r="C84" s="1" t="s">
        <v>18</v>
      </c>
      <c r="D84" s="1" t="s">
        <v>27</v>
      </c>
      <c r="E84" s="1" t="s">
        <v>14</v>
      </c>
      <c r="F84" s="1" t="s">
        <v>15</v>
      </c>
      <c r="G84" s="2">
        <v>45009</v>
      </c>
      <c r="H84" s="3">
        <v>167</v>
      </c>
      <c r="I84" s="3">
        <v>296.26</v>
      </c>
      <c r="J84" s="3">
        <v>163.11000000000001</v>
      </c>
      <c r="K84" t="str">
        <f>IF(B84="", VLOOKUP(C84, Mapping!A:B, 2, FALSE), B84)</f>
        <v>North</v>
      </c>
      <c r="L84" t="str">
        <f t="shared" si="3"/>
        <v>Furniture</v>
      </c>
      <c r="M84">
        <f>IF(H84="", AVERAGEIF(Dataset!D:D, D84, Dataset!H:H), H84)</f>
        <v>167</v>
      </c>
      <c r="N84">
        <f>IF(I84="", AVERAGEIF(Dataset!D:D, D84, Dataset!I:I), I84)</f>
        <v>296.26</v>
      </c>
      <c r="O84">
        <f t="shared" si="4"/>
        <v>49475.42</v>
      </c>
      <c r="P84">
        <f t="shared" si="5"/>
        <v>22236.049999999996</v>
      </c>
    </row>
    <row r="85" spans="1:16" ht="15" thickBot="1" x14ac:dyDescent="0.35">
      <c r="A85" s="1" t="s">
        <v>112</v>
      </c>
      <c r="B85" s="1" t="s">
        <v>17</v>
      </c>
      <c r="C85" s="1" t="s">
        <v>50</v>
      </c>
      <c r="D85" s="1" t="s">
        <v>27</v>
      </c>
      <c r="E85" s="1" t="s">
        <v>24</v>
      </c>
      <c r="F85" s="1" t="s">
        <v>15</v>
      </c>
      <c r="G85" s="2">
        <v>45010</v>
      </c>
      <c r="H85" s="3">
        <v>48</v>
      </c>
      <c r="I85" s="3">
        <v>301.36</v>
      </c>
      <c r="J85" s="3">
        <v>262.32</v>
      </c>
      <c r="K85" t="str">
        <f>IF(B85="", VLOOKUP(C85, Mapping!A:B, 2, FALSE), B85)</f>
        <v>West</v>
      </c>
      <c r="L85" t="str">
        <f t="shared" si="3"/>
        <v>Furniture</v>
      </c>
      <c r="M85">
        <f>IF(H85="", AVERAGEIF(Dataset!D:D, D85, Dataset!H:H), H85)</f>
        <v>48</v>
      </c>
      <c r="N85">
        <f>IF(I85="", AVERAGEIF(Dataset!D:D, D85, Dataset!I:I), I85)</f>
        <v>301.36</v>
      </c>
      <c r="O85">
        <f t="shared" si="4"/>
        <v>14465.28</v>
      </c>
      <c r="P85">
        <f t="shared" si="5"/>
        <v>1873.920000000001</v>
      </c>
    </row>
    <row r="86" spans="1:16" ht="15" thickBot="1" x14ac:dyDescent="0.35">
      <c r="A86" s="1" t="s">
        <v>113</v>
      </c>
      <c r="B86" s="1" t="s">
        <v>11</v>
      </c>
      <c r="C86" s="1" t="s">
        <v>50</v>
      </c>
      <c r="D86" s="1" t="s">
        <v>27</v>
      </c>
      <c r="E86" s="1" t="s">
        <v>24</v>
      </c>
      <c r="F86" s="1" t="s">
        <v>28</v>
      </c>
      <c r="G86" s="2">
        <v>45011</v>
      </c>
      <c r="H86" s="3">
        <v>424</v>
      </c>
      <c r="I86" s="3">
        <v>201.35</v>
      </c>
      <c r="J86" s="3">
        <v>142.99</v>
      </c>
      <c r="K86" t="str">
        <f>IF(B86="", VLOOKUP(C86, Mapping!A:B, 2, FALSE), B86)</f>
        <v>East</v>
      </c>
      <c r="L86" t="str">
        <f t="shared" si="3"/>
        <v>Furniture</v>
      </c>
      <c r="M86">
        <f>IF(H86="", AVERAGEIF(Dataset!D:D, D86, Dataset!H:H), H86)</f>
        <v>424</v>
      </c>
      <c r="N86">
        <f>IF(I86="", AVERAGEIF(Dataset!D:D, D86, Dataset!I:I), I86)</f>
        <v>201.35</v>
      </c>
      <c r="O86">
        <f t="shared" si="4"/>
        <v>85372.4</v>
      </c>
      <c r="P86">
        <f t="shared" si="5"/>
        <v>24744.639999999992</v>
      </c>
    </row>
    <row r="87" spans="1:16" ht="15" thickBot="1" x14ac:dyDescent="0.35">
      <c r="A87" s="1" t="s">
        <v>114</v>
      </c>
      <c r="B87" s="1" t="s">
        <v>11</v>
      </c>
      <c r="C87" s="1" t="s">
        <v>18</v>
      </c>
      <c r="D87" s="1" t="s">
        <v>23</v>
      </c>
      <c r="E87" s="1" t="s">
        <v>14</v>
      </c>
      <c r="F87" s="1" t="s">
        <v>15</v>
      </c>
      <c r="G87" s="2">
        <v>45012</v>
      </c>
      <c r="H87" s="3">
        <v>91</v>
      </c>
      <c r="I87" s="3">
        <v>122.33</v>
      </c>
      <c r="J87" s="3">
        <v>211.15</v>
      </c>
      <c r="K87" t="str">
        <f>IF(B87="", VLOOKUP(C87, Mapping!A:B, 2, FALSE), B87)</f>
        <v>East</v>
      </c>
      <c r="L87" t="str">
        <f t="shared" si="3"/>
        <v>Clothing</v>
      </c>
      <c r="M87">
        <f>IF(H87="", AVERAGEIF(Dataset!D:D, D87, Dataset!H:H), H87)</f>
        <v>91</v>
      </c>
      <c r="N87">
        <f>IF(I87="", AVERAGEIF(Dataset!D:D, D87, Dataset!I:I), I87)</f>
        <v>122.33</v>
      </c>
      <c r="O87">
        <f t="shared" si="4"/>
        <v>11132.03</v>
      </c>
      <c r="P87">
        <f t="shared" si="5"/>
        <v>0</v>
      </c>
    </row>
    <row r="88" spans="1:16" ht="29.4" thickBot="1" x14ac:dyDescent="0.35">
      <c r="A88" s="1" t="s">
        <v>115</v>
      </c>
      <c r="B88" s="1" t="s">
        <v>48</v>
      </c>
      <c r="C88" s="1" t="s">
        <v>50</v>
      </c>
      <c r="D88" s="1" t="s">
        <v>13</v>
      </c>
      <c r="E88" s="1" t="s">
        <v>14</v>
      </c>
      <c r="F88" s="1" t="s">
        <v>28</v>
      </c>
      <c r="G88" s="2">
        <v>45013</v>
      </c>
      <c r="H88" s="3">
        <v>365</v>
      </c>
      <c r="I88" s="3">
        <v>121.16</v>
      </c>
      <c r="J88" s="3">
        <v>193.69</v>
      </c>
      <c r="K88" t="str">
        <f>IF(B88="", VLOOKUP(C88, Mapping!A:B, 2, FALSE), B88)</f>
        <v>South</v>
      </c>
      <c r="L88" t="str">
        <f t="shared" si="3"/>
        <v>Beverages</v>
      </c>
      <c r="M88">
        <f>IF(H88="", AVERAGEIF(Dataset!D:D, D88, Dataset!H:H), H88)</f>
        <v>365</v>
      </c>
      <c r="N88">
        <f>IF(I88="", AVERAGEIF(Dataset!D:D, D88, Dataset!I:I), I88)</f>
        <v>121.16</v>
      </c>
      <c r="O88">
        <f t="shared" si="4"/>
        <v>44223.4</v>
      </c>
      <c r="P88">
        <f t="shared" si="5"/>
        <v>0</v>
      </c>
    </row>
    <row r="89" spans="1:16" ht="29.4" thickBot="1" x14ac:dyDescent="0.35">
      <c r="A89" s="1" t="s">
        <v>116</v>
      </c>
      <c r="B89" s="1" t="s">
        <v>22</v>
      </c>
      <c r="C89" s="1" t="s">
        <v>31</v>
      </c>
      <c r="D89" s="1" t="s">
        <v>13</v>
      </c>
      <c r="E89" s="1" t="s">
        <v>14</v>
      </c>
      <c r="F89" s="1" t="s">
        <v>28</v>
      </c>
      <c r="G89" s="2">
        <v>45014</v>
      </c>
      <c r="H89" s="3">
        <v>267</v>
      </c>
      <c r="I89" s="3">
        <v>442.44</v>
      </c>
      <c r="J89" s="3">
        <v>72.400000000000006</v>
      </c>
      <c r="K89" t="str">
        <f>IF(B89="", VLOOKUP(C89, Mapping!A:B, 2, FALSE), B89)</f>
        <v>North</v>
      </c>
      <c r="L89" t="str">
        <f t="shared" si="3"/>
        <v>Beverages</v>
      </c>
      <c r="M89">
        <f>IF(H89="", AVERAGEIF(Dataset!D:D, D89, Dataset!H:H), H89)</f>
        <v>267</v>
      </c>
      <c r="N89">
        <f>IF(I89="", AVERAGEIF(Dataset!D:D, D89, Dataset!I:I), I89)</f>
        <v>442.44</v>
      </c>
      <c r="O89">
        <f t="shared" si="4"/>
        <v>118131.48</v>
      </c>
      <c r="P89">
        <f t="shared" si="5"/>
        <v>98800.68</v>
      </c>
    </row>
    <row r="90" spans="1:16" ht="29.4" thickBot="1" x14ac:dyDescent="0.35">
      <c r="A90" s="1" t="s">
        <v>117</v>
      </c>
      <c r="B90" s="1" t="s">
        <v>17</v>
      </c>
      <c r="C90" s="1" t="s">
        <v>12</v>
      </c>
      <c r="D90" s="1" t="s">
        <v>42</v>
      </c>
      <c r="E90" s="1" t="s">
        <v>24</v>
      </c>
      <c r="F90" s="1" t="s">
        <v>28</v>
      </c>
      <c r="G90" s="2">
        <v>45015</v>
      </c>
      <c r="H90" s="3">
        <v>215</v>
      </c>
      <c r="I90" s="3">
        <v>223.8</v>
      </c>
      <c r="J90" s="3">
        <v>156.06</v>
      </c>
      <c r="K90" t="str">
        <f>IF(B90="", VLOOKUP(C90, Mapping!A:B, 2, FALSE), B90)</f>
        <v>West</v>
      </c>
      <c r="L90" t="str">
        <f t="shared" si="3"/>
        <v>Electronics</v>
      </c>
      <c r="M90">
        <f>IF(H90="", AVERAGEIF(Dataset!D:D, D90, Dataset!H:H), H90)</f>
        <v>215</v>
      </c>
      <c r="N90">
        <f>IF(I90="", AVERAGEIF(Dataset!D:D, D90, Dataset!I:I), I90)</f>
        <v>223.8</v>
      </c>
      <c r="O90">
        <f t="shared" si="4"/>
        <v>48117</v>
      </c>
      <c r="P90">
        <f t="shared" si="5"/>
        <v>14564.100000000002</v>
      </c>
    </row>
    <row r="91" spans="1:16" ht="29.4" thickBot="1" x14ac:dyDescent="0.35">
      <c r="A91" s="1" t="s">
        <v>118</v>
      </c>
      <c r="B91" s="1" t="s">
        <v>48</v>
      </c>
      <c r="C91" s="1" t="s">
        <v>18</v>
      </c>
      <c r="D91" s="1" t="s">
        <v>42</v>
      </c>
      <c r="E91" s="1" t="s">
        <v>14</v>
      </c>
      <c r="F91" s="1" t="s">
        <v>28</v>
      </c>
      <c r="G91" s="2">
        <v>45016</v>
      </c>
      <c r="H91" s="3">
        <v>86</v>
      </c>
      <c r="I91" s="3">
        <v>168.79</v>
      </c>
      <c r="J91" s="3">
        <v>385.6</v>
      </c>
      <c r="K91" t="str">
        <f>IF(B91="", VLOOKUP(C91, Mapping!A:B, 2, FALSE), B91)</f>
        <v>South</v>
      </c>
      <c r="L91" t="str">
        <f t="shared" si="3"/>
        <v>Electronics</v>
      </c>
      <c r="M91">
        <f>IF(H91="", AVERAGEIF(Dataset!D:D, D91, Dataset!H:H), H91)</f>
        <v>86</v>
      </c>
      <c r="N91">
        <f>IF(I91="", AVERAGEIF(Dataset!D:D, D91, Dataset!I:I), I91)</f>
        <v>168.79</v>
      </c>
      <c r="O91">
        <f t="shared" si="4"/>
        <v>14515.939999999999</v>
      </c>
      <c r="P91">
        <f t="shared" si="5"/>
        <v>0</v>
      </c>
    </row>
    <row r="92" spans="1:16" ht="15" thickBot="1" x14ac:dyDescent="0.35">
      <c r="A92" s="1" t="s">
        <v>119</v>
      </c>
      <c r="B92" s="1" t="s">
        <v>17</v>
      </c>
      <c r="C92" s="1" t="s">
        <v>12</v>
      </c>
      <c r="D92" s="1" t="s">
        <v>27</v>
      </c>
      <c r="E92" s="1" t="s">
        <v>24</v>
      </c>
      <c r="F92" s="1" t="s">
        <v>28</v>
      </c>
      <c r="G92" s="2">
        <v>45017</v>
      </c>
      <c r="H92" s="3">
        <v>486</v>
      </c>
      <c r="I92" s="3">
        <v>227.14</v>
      </c>
      <c r="J92" s="3">
        <v>100.93</v>
      </c>
      <c r="K92" t="str">
        <f>IF(B92="", VLOOKUP(C92, Mapping!A:B, 2, FALSE), B92)</f>
        <v>West</v>
      </c>
      <c r="L92" t="str">
        <f t="shared" si="3"/>
        <v>Furniture</v>
      </c>
      <c r="M92">
        <f>IF(H92="", AVERAGEIF(Dataset!D:D, D92, Dataset!H:H), H92)</f>
        <v>486</v>
      </c>
      <c r="N92">
        <f>IF(I92="", AVERAGEIF(Dataset!D:D, D92, Dataset!I:I), I92)</f>
        <v>227.14</v>
      </c>
      <c r="O92">
        <f t="shared" si="4"/>
        <v>110390.04</v>
      </c>
      <c r="P92">
        <f t="shared" si="5"/>
        <v>61338.05999999999</v>
      </c>
    </row>
    <row r="93" spans="1:16" ht="29.4" thickBot="1" x14ac:dyDescent="0.35">
      <c r="A93" s="1" t="s">
        <v>120</v>
      </c>
      <c r="B93" s="1" t="s">
        <v>17</v>
      </c>
      <c r="C93" s="1" t="s">
        <v>50</v>
      </c>
      <c r="D93" s="1" t="s">
        <v>42</v>
      </c>
      <c r="E93" s="1" t="s">
        <v>24</v>
      </c>
      <c r="F93" s="1" t="s">
        <v>20</v>
      </c>
      <c r="G93" s="2">
        <v>45018</v>
      </c>
      <c r="H93" s="3">
        <v>21</v>
      </c>
      <c r="I93" s="1"/>
      <c r="J93" s="3">
        <v>55.25</v>
      </c>
      <c r="K93" t="str">
        <f>IF(B93="", VLOOKUP(C93, Mapping!A:B, 2, FALSE), B93)</f>
        <v>West</v>
      </c>
      <c r="L93" t="str">
        <f t="shared" si="3"/>
        <v>Electronics</v>
      </c>
      <c r="M93">
        <f>IF(H93="", AVERAGEIF(Dataset!D:D, D93, Dataset!H:H), H93)</f>
        <v>21</v>
      </c>
      <c r="N93">
        <f>IF(I93="", AVERAGEIF(Dataset!D:D, D93, Dataset!I:I), I93)</f>
        <v>249.16617647058828</v>
      </c>
      <c r="O93" t="str">
        <f t="shared" si="4"/>
        <v/>
      </c>
      <c r="P93">
        <f t="shared" si="5"/>
        <v>0</v>
      </c>
    </row>
    <row r="94" spans="1:16" ht="15" thickBot="1" x14ac:dyDescent="0.35">
      <c r="A94" s="1" t="s">
        <v>121</v>
      </c>
      <c r="B94" s="1" t="s">
        <v>48</v>
      </c>
      <c r="C94" s="1" t="s">
        <v>50</v>
      </c>
      <c r="D94" s="1" t="s">
        <v>23</v>
      </c>
      <c r="E94" s="1" t="s">
        <v>24</v>
      </c>
      <c r="F94" s="1" t="s">
        <v>15</v>
      </c>
      <c r="G94" s="2">
        <v>45019</v>
      </c>
      <c r="H94" s="3">
        <v>304</v>
      </c>
      <c r="I94" s="3">
        <v>77.150000000000006</v>
      </c>
      <c r="J94" s="3">
        <v>168.6</v>
      </c>
      <c r="K94" t="str">
        <f>IF(B94="", VLOOKUP(C94, Mapping!A:B, 2, FALSE), B94)</f>
        <v>South</v>
      </c>
      <c r="L94" t="str">
        <f t="shared" si="3"/>
        <v>Clothing</v>
      </c>
      <c r="M94">
        <f>IF(H94="", AVERAGEIF(Dataset!D:D, D94, Dataset!H:H), H94)</f>
        <v>304</v>
      </c>
      <c r="N94">
        <f>IF(I94="", AVERAGEIF(Dataset!D:D, D94, Dataset!I:I), I94)</f>
        <v>77.150000000000006</v>
      </c>
      <c r="O94">
        <f t="shared" si="4"/>
        <v>23453.600000000002</v>
      </c>
      <c r="P94">
        <f t="shared" si="5"/>
        <v>0</v>
      </c>
    </row>
    <row r="95" spans="1:16" ht="29.4" thickBot="1" x14ac:dyDescent="0.35">
      <c r="A95" s="1" t="s">
        <v>122</v>
      </c>
      <c r="B95" s="1" t="s">
        <v>48</v>
      </c>
      <c r="C95" s="1" t="s">
        <v>18</v>
      </c>
      <c r="D95" s="1" t="s">
        <v>13</v>
      </c>
      <c r="E95" s="1" t="s">
        <v>14</v>
      </c>
      <c r="F95" s="1" t="s">
        <v>20</v>
      </c>
      <c r="G95" s="2">
        <v>45020</v>
      </c>
      <c r="H95" s="3">
        <v>459</v>
      </c>
      <c r="I95" s="3">
        <v>227.47</v>
      </c>
      <c r="J95" s="3">
        <v>316.55</v>
      </c>
      <c r="K95" t="str">
        <f>IF(B95="", VLOOKUP(C95, Mapping!A:B, 2, FALSE), B95)</f>
        <v>South</v>
      </c>
      <c r="L95" t="str">
        <f t="shared" si="3"/>
        <v>Beverages</v>
      </c>
      <c r="M95">
        <f>IF(H95="", AVERAGEIF(Dataset!D:D, D95, Dataset!H:H), H95)</f>
        <v>459</v>
      </c>
      <c r="N95">
        <f>IF(I95="", AVERAGEIF(Dataset!D:D, D95, Dataset!I:I), I95)</f>
        <v>227.47</v>
      </c>
      <c r="O95">
        <f t="shared" si="4"/>
        <v>104408.73</v>
      </c>
      <c r="P95">
        <f t="shared" si="5"/>
        <v>0</v>
      </c>
    </row>
    <row r="96" spans="1:16" ht="15" thickBot="1" x14ac:dyDescent="0.35">
      <c r="A96" s="1" t="s">
        <v>123</v>
      </c>
      <c r="B96" s="1" t="s">
        <v>48</v>
      </c>
      <c r="C96" s="1" t="s">
        <v>31</v>
      </c>
      <c r="D96" s="1" t="s">
        <v>27</v>
      </c>
      <c r="E96" s="1" t="s">
        <v>14</v>
      </c>
      <c r="F96" s="1" t="s">
        <v>15</v>
      </c>
      <c r="G96" s="2">
        <v>45021</v>
      </c>
      <c r="H96" s="3">
        <v>233</v>
      </c>
      <c r="I96" s="3">
        <v>296</v>
      </c>
      <c r="J96" s="3">
        <v>233.69</v>
      </c>
      <c r="K96" t="str">
        <f>IF(B96="", VLOOKUP(C96, Mapping!A:B, 2, FALSE), B96)</f>
        <v>South</v>
      </c>
      <c r="L96" t="str">
        <f t="shared" si="3"/>
        <v>Furniture</v>
      </c>
      <c r="M96">
        <f>IF(H96="", AVERAGEIF(Dataset!D:D, D96, Dataset!H:H), H96)</f>
        <v>233</v>
      </c>
      <c r="N96">
        <f>IF(I96="", AVERAGEIF(Dataset!D:D, D96, Dataset!I:I), I96)</f>
        <v>296</v>
      </c>
      <c r="O96">
        <f t="shared" si="4"/>
        <v>68968</v>
      </c>
      <c r="P96">
        <f t="shared" si="5"/>
        <v>14518.230000000001</v>
      </c>
    </row>
    <row r="97" spans="1:16" ht="29.4" thickBot="1" x14ac:dyDescent="0.35">
      <c r="A97" s="1" t="s">
        <v>124</v>
      </c>
      <c r="B97" s="1" t="s">
        <v>48</v>
      </c>
      <c r="C97" s="1" t="s">
        <v>26</v>
      </c>
      <c r="D97" s="1" t="s">
        <v>42</v>
      </c>
      <c r="E97" s="1" t="s">
        <v>24</v>
      </c>
      <c r="F97" s="1" t="s">
        <v>20</v>
      </c>
      <c r="G97" s="2">
        <v>45022</v>
      </c>
      <c r="H97" s="3">
        <v>22</v>
      </c>
      <c r="I97" s="3">
        <v>474.55</v>
      </c>
      <c r="J97" s="3">
        <v>273.02999999999997</v>
      </c>
      <c r="K97" t="str">
        <f>IF(B97="", VLOOKUP(C97, Mapping!A:B, 2, FALSE), B97)</f>
        <v>South</v>
      </c>
      <c r="L97" t="str">
        <f t="shared" si="3"/>
        <v>Electronics</v>
      </c>
      <c r="M97">
        <f>IF(H97="", AVERAGEIF(Dataset!D:D, D97, Dataset!H:H), H97)</f>
        <v>22</v>
      </c>
      <c r="N97">
        <f>IF(I97="", AVERAGEIF(Dataset!D:D, D97, Dataset!I:I), I97)</f>
        <v>474.55</v>
      </c>
      <c r="O97">
        <f t="shared" si="4"/>
        <v>10440.1</v>
      </c>
      <c r="P97">
        <f t="shared" si="5"/>
        <v>4433.4400000000005</v>
      </c>
    </row>
    <row r="98" spans="1:16" ht="15" thickBot="1" x14ac:dyDescent="0.35">
      <c r="A98" s="1" t="s">
        <v>125</v>
      </c>
      <c r="B98" s="1" t="s">
        <v>48</v>
      </c>
      <c r="C98" s="1" t="s">
        <v>18</v>
      </c>
      <c r="D98" s="1" t="s">
        <v>23</v>
      </c>
      <c r="E98" s="1" t="s">
        <v>14</v>
      </c>
      <c r="F98" s="1" t="s">
        <v>28</v>
      </c>
      <c r="G98" s="2">
        <v>45023</v>
      </c>
      <c r="H98" s="3">
        <v>55</v>
      </c>
      <c r="I98" s="3">
        <v>130</v>
      </c>
      <c r="J98" s="3">
        <v>77.5</v>
      </c>
      <c r="K98" t="str">
        <f>IF(B98="", VLOOKUP(C98, Mapping!A:B, 2, FALSE), B98)</f>
        <v>South</v>
      </c>
      <c r="L98" t="str">
        <f t="shared" si="3"/>
        <v>Clothing</v>
      </c>
      <c r="M98">
        <f>IF(H98="", AVERAGEIF(Dataset!D:D, D98, Dataset!H:H), H98)</f>
        <v>55</v>
      </c>
      <c r="N98">
        <f>IF(I98="", AVERAGEIF(Dataset!D:D, D98, Dataset!I:I), I98)</f>
        <v>130</v>
      </c>
      <c r="O98">
        <f t="shared" si="4"/>
        <v>7150</v>
      </c>
      <c r="P98">
        <f t="shared" si="5"/>
        <v>2887.5</v>
      </c>
    </row>
    <row r="99" spans="1:16" ht="15" thickBot="1" x14ac:dyDescent="0.35">
      <c r="A99" s="1" t="s">
        <v>126</v>
      </c>
      <c r="B99" s="1" t="s">
        <v>17</v>
      </c>
      <c r="C99" s="1" t="s">
        <v>26</v>
      </c>
      <c r="D99" s="1" t="s">
        <v>23</v>
      </c>
      <c r="E99" s="1" t="s">
        <v>14</v>
      </c>
      <c r="F99" s="1" t="s">
        <v>15</v>
      </c>
      <c r="G99" s="2">
        <v>45024</v>
      </c>
      <c r="H99" s="3">
        <v>164</v>
      </c>
      <c r="I99" s="3">
        <v>182.83</v>
      </c>
      <c r="J99" s="3">
        <v>248.34</v>
      </c>
      <c r="K99" t="str">
        <f>IF(B99="", VLOOKUP(C99, Mapping!A:B, 2, FALSE), B99)</f>
        <v>West</v>
      </c>
      <c r="L99" t="str">
        <f t="shared" si="3"/>
        <v>Clothing</v>
      </c>
      <c r="M99">
        <f>IF(H99="", AVERAGEIF(Dataset!D:D, D99, Dataset!H:H), H99)</f>
        <v>164</v>
      </c>
      <c r="N99">
        <f>IF(I99="", AVERAGEIF(Dataset!D:D, D99, Dataset!I:I), I99)</f>
        <v>182.83</v>
      </c>
      <c r="O99">
        <f t="shared" si="4"/>
        <v>29984.120000000003</v>
      </c>
      <c r="P99">
        <f t="shared" si="5"/>
        <v>0</v>
      </c>
    </row>
    <row r="100" spans="1:16" ht="29.4" thickBot="1" x14ac:dyDescent="0.35">
      <c r="A100" s="1" t="s">
        <v>127</v>
      </c>
      <c r="B100" s="1" t="s">
        <v>48</v>
      </c>
      <c r="C100" s="1" t="s">
        <v>26</v>
      </c>
      <c r="D100" s="1" t="s">
        <v>42</v>
      </c>
      <c r="E100" s="1" t="s">
        <v>14</v>
      </c>
      <c r="F100" s="1" t="s">
        <v>15</v>
      </c>
      <c r="G100" s="2">
        <v>45025</v>
      </c>
      <c r="H100" s="3">
        <v>122</v>
      </c>
      <c r="I100" s="3">
        <v>192.78</v>
      </c>
      <c r="J100" s="3">
        <v>130.75</v>
      </c>
      <c r="K100" t="str">
        <f>IF(B100="", VLOOKUP(C100, Mapping!A:B, 2, FALSE), B100)</f>
        <v>South</v>
      </c>
      <c r="L100" t="str">
        <f t="shared" si="3"/>
        <v>Electronics</v>
      </c>
      <c r="M100">
        <f>IF(H100="", AVERAGEIF(Dataset!D:D, D100, Dataset!H:H), H100)</f>
        <v>122</v>
      </c>
      <c r="N100">
        <f>IF(I100="", AVERAGEIF(Dataset!D:D, D100, Dataset!I:I), I100)</f>
        <v>192.78</v>
      </c>
      <c r="O100">
        <f t="shared" si="4"/>
        <v>23519.16</v>
      </c>
      <c r="P100">
        <f t="shared" si="5"/>
        <v>7567.66</v>
      </c>
    </row>
    <row r="101" spans="1:16" ht="29.4" thickBot="1" x14ac:dyDescent="0.35">
      <c r="A101" s="1" t="s">
        <v>128</v>
      </c>
      <c r="B101" s="1" t="s">
        <v>22</v>
      </c>
      <c r="C101" s="1" t="s">
        <v>31</v>
      </c>
      <c r="D101" s="1" t="s">
        <v>13</v>
      </c>
      <c r="E101" s="1" t="s">
        <v>24</v>
      </c>
      <c r="F101" s="1" t="s">
        <v>20</v>
      </c>
      <c r="G101" s="2">
        <v>45026</v>
      </c>
      <c r="H101" s="3">
        <v>242</v>
      </c>
      <c r="I101" s="3">
        <v>304.74</v>
      </c>
      <c r="J101" s="3">
        <v>334.05</v>
      </c>
      <c r="K101" t="str">
        <f>IF(B101="", VLOOKUP(C101, Mapping!A:B, 2, FALSE), B101)</f>
        <v>North</v>
      </c>
      <c r="L101" t="str">
        <f t="shared" si="3"/>
        <v>Beverages</v>
      </c>
      <c r="M101">
        <f>IF(H101="", AVERAGEIF(Dataset!D:D, D101, Dataset!H:H), H101)</f>
        <v>242</v>
      </c>
      <c r="N101">
        <f>IF(I101="", AVERAGEIF(Dataset!D:D, D101, Dataset!I:I), I101)</f>
        <v>304.74</v>
      </c>
      <c r="O101">
        <f t="shared" si="4"/>
        <v>73747.08</v>
      </c>
      <c r="P101">
        <f t="shared" si="5"/>
        <v>0</v>
      </c>
    </row>
    <row r="102" spans="1:16" ht="29.4" thickBot="1" x14ac:dyDescent="0.35">
      <c r="A102" s="1" t="s">
        <v>129</v>
      </c>
      <c r="B102" s="1" t="s">
        <v>11</v>
      </c>
      <c r="C102" s="1" t="s">
        <v>26</v>
      </c>
      <c r="D102" s="1" t="s">
        <v>42</v>
      </c>
      <c r="E102" s="1" t="s">
        <v>24</v>
      </c>
      <c r="F102" s="1" t="s">
        <v>20</v>
      </c>
      <c r="G102" s="2">
        <v>45027</v>
      </c>
      <c r="H102" s="3">
        <v>26</v>
      </c>
      <c r="I102" s="3">
        <v>181.58</v>
      </c>
      <c r="J102" s="3">
        <v>252.46</v>
      </c>
      <c r="K102" t="str">
        <f>IF(B102="", VLOOKUP(C102, Mapping!A:B, 2, FALSE), B102)</f>
        <v>East</v>
      </c>
      <c r="L102" t="str">
        <f t="shared" si="3"/>
        <v>Electronics</v>
      </c>
      <c r="M102">
        <f>IF(H102="", AVERAGEIF(Dataset!D:D, D102, Dataset!H:H), H102)</f>
        <v>26</v>
      </c>
      <c r="N102">
        <f>IF(I102="", AVERAGEIF(Dataset!D:D, D102, Dataset!I:I), I102)</f>
        <v>181.58</v>
      </c>
      <c r="O102">
        <f t="shared" si="4"/>
        <v>4721.08</v>
      </c>
      <c r="P102">
        <f t="shared" si="5"/>
        <v>0</v>
      </c>
    </row>
    <row r="103" spans="1:16" ht="15" thickBot="1" x14ac:dyDescent="0.35">
      <c r="A103" s="1" t="s">
        <v>130</v>
      </c>
      <c r="B103" s="1" t="s">
        <v>48</v>
      </c>
      <c r="C103" s="1" t="s">
        <v>26</v>
      </c>
      <c r="D103" s="1" t="s">
        <v>27</v>
      </c>
      <c r="E103" s="1" t="s">
        <v>14</v>
      </c>
      <c r="F103" s="1" t="s">
        <v>15</v>
      </c>
      <c r="G103" s="2">
        <v>45028</v>
      </c>
      <c r="H103" s="3">
        <v>369</v>
      </c>
      <c r="I103" s="3">
        <v>269.08999999999997</v>
      </c>
      <c r="J103" s="3">
        <v>81.14</v>
      </c>
      <c r="K103" t="str">
        <f>IF(B103="", VLOOKUP(C103, Mapping!A:B, 2, FALSE), B103)</f>
        <v>South</v>
      </c>
      <c r="L103" t="str">
        <f t="shared" si="3"/>
        <v>Furniture</v>
      </c>
      <c r="M103">
        <f>IF(H103="", AVERAGEIF(Dataset!D:D, D103, Dataset!H:H), H103)</f>
        <v>369</v>
      </c>
      <c r="N103">
        <f>IF(I103="", AVERAGEIF(Dataset!D:D, D103, Dataset!I:I), I103)</f>
        <v>269.08999999999997</v>
      </c>
      <c r="O103">
        <f t="shared" si="4"/>
        <v>99294.209999999992</v>
      </c>
      <c r="P103">
        <f t="shared" si="5"/>
        <v>69353.55</v>
      </c>
    </row>
    <row r="104" spans="1:16" ht="29.4" thickBot="1" x14ac:dyDescent="0.35">
      <c r="A104" s="1" t="s">
        <v>131</v>
      </c>
      <c r="B104" s="1" t="s">
        <v>48</v>
      </c>
      <c r="C104" s="1" t="s">
        <v>31</v>
      </c>
      <c r="D104" s="1" t="s">
        <v>42</v>
      </c>
      <c r="E104" s="1" t="s">
        <v>24</v>
      </c>
      <c r="F104" s="1" t="s">
        <v>20</v>
      </c>
      <c r="G104" s="2">
        <v>45029</v>
      </c>
      <c r="H104" s="3">
        <v>232</v>
      </c>
      <c r="I104" s="3">
        <v>391.99</v>
      </c>
      <c r="J104" s="3">
        <v>27.72</v>
      </c>
      <c r="K104" t="str">
        <f>IF(B104="", VLOOKUP(C104, Mapping!A:B, 2, FALSE), B104)</f>
        <v>South</v>
      </c>
      <c r="L104" t="str">
        <f t="shared" si="3"/>
        <v>Electronics</v>
      </c>
      <c r="M104">
        <f>IF(H104="", AVERAGEIF(Dataset!D:D, D104, Dataset!H:H), H104)</f>
        <v>232</v>
      </c>
      <c r="N104">
        <f>IF(I104="", AVERAGEIF(Dataset!D:D, D104, Dataset!I:I), I104)</f>
        <v>391.99</v>
      </c>
      <c r="O104">
        <f t="shared" si="4"/>
        <v>90941.680000000008</v>
      </c>
      <c r="P104">
        <f t="shared" si="5"/>
        <v>84510.64</v>
      </c>
    </row>
    <row r="105" spans="1:16" ht="15" thickBot="1" x14ac:dyDescent="0.35">
      <c r="A105" s="1" t="s">
        <v>132</v>
      </c>
      <c r="B105" s="1" t="s">
        <v>17</v>
      </c>
      <c r="C105" s="1" t="s">
        <v>26</v>
      </c>
      <c r="D105" s="1" t="s">
        <v>23</v>
      </c>
      <c r="E105" s="1" t="s">
        <v>14</v>
      </c>
      <c r="F105" s="1" t="s">
        <v>20</v>
      </c>
      <c r="G105" s="2">
        <v>45030</v>
      </c>
      <c r="H105" s="3">
        <v>363</v>
      </c>
      <c r="I105" s="3">
        <v>354.17</v>
      </c>
      <c r="J105" s="3">
        <v>18.97</v>
      </c>
      <c r="K105" t="str">
        <f>IF(B105="", VLOOKUP(C105, Mapping!A:B, 2, FALSE), B105)</f>
        <v>West</v>
      </c>
      <c r="L105" t="str">
        <f t="shared" si="3"/>
        <v>Clothing</v>
      </c>
      <c r="M105">
        <f>IF(H105="", AVERAGEIF(Dataset!D:D, D105, Dataset!H:H), H105)</f>
        <v>363</v>
      </c>
      <c r="N105">
        <f>IF(I105="", AVERAGEIF(Dataset!D:D, D105, Dataset!I:I), I105)</f>
        <v>354.17</v>
      </c>
      <c r="O105">
        <f t="shared" si="4"/>
        <v>128563.71</v>
      </c>
      <c r="P105">
        <f t="shared" si="5"/>
        <v>121677.60000000002</v>
      </c>
    </row>
    <row r="106" spans="1:16" ht="29.4" thickBot="1" x14ac:dyDescent="0.35">
      <c r="A106" s="1" t="s">
        <v>133</v>
      </c>
      <c r="B106" s="1" t="s">
        <v>48</v>
      </c>
      <c r="C106" s="1" t="s">
        <v>26</v>
      </c>
      <c r="D106" s="1" t="s">
        <v>42</v>
      </c>
      <c r="E106" s="1" t="s">
        <v>14</v>
      </c>
      <c r="F106" s="1" t="s">
        <v>20</v>
      </c>
      <c r="G106" s="2">
        <v>45031</v>
      </c>
      <c r="H106" s="3">
        <v>197</v>
      </c>
      <c r="I106" s="3">
        <v>225.95</v>
      </c>
      <c r="J106" s="3">
        <v>149.82</v>
      </c>
      <c r="K106" t="str">
        <f>IF(B106="", VLOOKUP(C106, Mapping!A:B, 2, FALSE), B106)</f>
        <v>South</v>
      </c>
      <c r="L106" t="str">
        <f t="shared" si="3"/>
        <v>Electronics</v>
      </c>
      <c r="M106">
        <f>IF(H106="", AVERAGEIF(Dataset!D:D, D106, Dataset!H:H), H106)</f>
        <v>197</v>
      </c>
      <c r="N106">
        <f>IF(I106="", AVERAGEIF(Dataset!D:D, D106, Dataset!I:I), I106)</f>
        <v>225.95</v>
      </c>
      <c r="O106">
        <f t="shared" si="4"/>
        <v>44512.149999999994</v>
      </c>
      <c r="P106">
        <f t="shared" si="5"/>
        <v>14997.609999999999</v>
      </c>
    </row>
    <row r="107" spans="1:16" ht="29.4" thickBot="1" x14ac:dyDescent="0.35">
      <c r="A107" s="1" t="s">
        <v>134</v>
      </c>
      <c r="B107" s="1" t="s">
        <v>48</v>
      </c>
      <c r="C107" s="1" t="s">
        <v>26</v>
      </c>
      <c r="D107" s="1" t="s">
        <v>13</v>
      </c>
      <c r="E107" s="1" t="s">
        <v>14</v>
      </c>
      <c r="F107" s="1" t="s">
        <v>28</v>
      </c>
      <c r="G107" s="2">
        <v>45032</v>
      </c>
      <c r="H107" s="3">
        <v>457</v>
      </c>
      <c r="I107" s="3">
        <v>432.79</v>
      </c>
      <c r="J107" s="3">
        <v>107.81</v>
      </c>
      <c r="K107" t="str">
        <f>IF(B107="", VLOOKUP(C107, Mapping!A:B, 2, FALSE), B107)</f>
        <v>South</v>
      </c>
      <c r="L107" t="str">
        <f t="shared" si="3"/>
        <v>Beverages</v>
      </c>
      <c r="M107">
        <f>IF(H107="", AVERAGEIF(Dataset!D:D, D107, Dataset!H:H), H107)</f>
        <v>457</v>
      </c>
      <c r="N107">
        <f>IF(I107="", AVERAGEIF(Dataset!D:D, D107, Dataset!I:I), I107)</f>
        <v>432.79</v>
      </c>
      <c r="O107">
        <f t="shared" si="4"/>
        <v>197785.03</v>
      </c>
      <c r="P107">
        <f t="shared" si="5"/>
        <v>148515.86000000002</v>
      </c>
    </row>
    <row r="108" spans="1:16" ht="15" thickBot="1" x14ac:dyDescent="0.35">
      <c r="A108" s="1" t="s">
        <v>135</v>
      </c>
      <c r="B108" s="1" t="s">
        <v>48</v>
      </c>
      <c r="C108" s="1" t="s">
        <v>18</v>
      </c>
      <c r="D108" s="1" t="s">
        <v>19</v>
      </c>
      <c r="E108" s="1" t="s">
        <v>14</v>
      </c>
      <c r="F108" s="1" t="s">
        <v>28</v>
      </c>
      <c r="G108" s="2">
        <v>45033</v>
      </c>
      <c r="H108" s="3">
        <v>353</v>
      </c>
      <c r="I108" s="3">
        <v>281.27999999999997</v>
      </c>
      <c r="J108" s="3">
        <v>259.14</v>
      </c>
      <c r="K108" t="str">
        <f>IF(B108="", VLOOKUP(C108, Mapping!A:B, 2, FALSE), B108)</f>
        <v>South</v>
      </c>
      <c r="L108" t="str">
        <f t="shared" si="3"/>
        <v>Food</v>
      </c>
      <c r="M108">
        <f>IF(H108="", AVERAGEIF(Dataset!D:D, D108, Dataset!H:H), H108)</f>
        <v>353</v>
      </c>
      <c r="N108">
        <f>IF(I108="", AVERAGEIF(Dataset!D:D, D108, Dataset!I:I), I108)</f>
        <v>281.27999999999997</v>
      </c>
      <c r="O108">
        <f t="shared" si="4"/>
        <v>99291.839999999997</v>
      </c>
      <c r="P108">
        <f t="shared" si="5"/>
        <v>7815.4199999999955</v>
      </c>
    </row>
    <row r="109" spans="1:16" ht="29.4" thickBot="1" x14ac:dyDescent="0.35">
      <c r="A109" s="1" t="s">
        <v>136</v>
      </c>
      <c r="B109" s="1" t="s">
        <v>17</v>
      </c>
      <c r="C109" s="1" t="s">
        <v>18</v>
      </c>
      <c r="D109" s="1" t="s">
        <v>42</v>
      </c>
      <c r="E109" s="1" t="s">
        <v>24</v>
      </c>
      <c r="F109" s="1" t="s">
        <v>20</v>
      </c>
      <c r="G109" s="2">
        <v>45034</v>
      </c>
      <c r="H109" s="3">
        <v>374</v>
      </c>
      <c r="I109" s="3">
        <v>272.25</v>
      </c>
      <c r="J109" s="3">
        <v>200.73</v>
      </c>
      <c r="K109" t="str">
        <f>IF(B109="", VLOOKUP(C109, Mapping!A:B, 2, FALSE), B109)</f>
        <v>West</v>
      </c>
      <c r="L109" t="str">
        <f t="shared" si="3"/>
        <v>Electronics</v>
      </c>
      <c r="M109">
        <f>IF(H109="", AVERAGEIF(Dataset!D:D, D109, Dataset!H:H), H109)</f>
        <v>374</v>
      </c>
      <c r="N109">
        <f>IF(I109="", AVERAGEIF(Dataset!D:D, D109, Dataset!I:I), I109)</f>
        <v>272.25</v>
      </c>
      <c r="O109">
        <f t="shared" si="4"/>
        <v>101821.5</v>
      </c>
      <c r="P109">
        <f t="shared" si="5"/>
        <v>26748.480000000003</v>
      </c>
    </row>
    <row r="110" spans="1:16" ht="29.4" thickBot="1" x14ac:dyDescent="0.35">
      <c r="A110" s="1" t="s">
        <v>137</v>
      </c>
      <c r="B110" s="1" t="s">
        <v>48</v>
      </c>
      <c r="C110" s="1" t="s">
        <v>18</v>
      </c>
      <c r="D110" s="1" t="s">
        <v>13</v>
      </c>
      <c r="E110" s="1" t="s">
        <v>24</v>
      </c>
      <c r="F110" s="1" t="s">
        <v>20</v>
      </c>
      <c r="G110" s="2">
        <v>45035</v>
      </c>
      <c r="H110" s="3">
        <v>172</v>
      </c>
      <c r="I110" s="3">
        <v>21.92</v>
      </c>
      <c r="J110" s="3">
        <v>107.88</v>
      </c>
      <c r="K110" t="str">
        <f>IF(B110="", VLOOKUP(C110, Mapping!A:B, 2, FALSE), B110)</f>
        <v>South</v>
      </c>
      <c r="L110" t="str">
        <f t="shared" si="3"/>
        <v>Beverages</v>
      </c>
      <c r="M110">
        <f>IF(H110="", AVERAGEIF(Dataset!D:D, D110, Dataset!H:H), H110)</f>
        <v>172</v>
      </c>
      <c r="N110">
        <f>IF(I110="", AVERAGEIF(Dataset!D:D, D110, Dataset!I:I), I110)</f>
        <v>21.92</v>
      </c>
      <c r="O110">
        <f t="shared" si="4"/>
        <v>3770.2400000000002</v>
      </c>
      <c r="P110">
        <f t="shared" si="5"/>
        <v>0</v>
      </c>
    </row>
    <row r="111" spans="1:16" ht="29.4" thickBot="1" x14ac:dyDescent="0.35">
      <c r="A111" s="1" t="s">
        <v>138</v>
      </c>
      <c r="B111" s="1" t="s">
        <v>11</v>
      </c>
      <c r="C111" s="1" t="s">
        <v>31</v>
      </c>
      <c r="D111" s="1" t="s">
        <v>13</v>
      </c>
      <c r="E111" s="1" t="s">
        <v>24</v>
      </c>
      <c r="F111" s="1" t="s">
        <v>28</v>
      </c>
      <c r="G111" s="2">
        <v>45036</v>
      </c>
      <c r="H111" s="3">
        <v>335</v>
      </c>
      <c r="I111" s="3">
        <v>493.41</v>
      </c>
      <c r="J111" s="3">
        <v>61.4</v>
      </c>
      <c r="K111" t="str">
        <f>IF(B111="", VLOOKUP(C111, Mapping!A:B, 2, FALSE), B111)</f>
        <v>East</v>
      </c>
      <c r="L111" t="str">
        <f t="shared" si="3"/>
        <v>Beverages</v>
      </c>
      <c r="M111">
        <f>IF(H111="", AVERAGEIF(Dataset!D:D, D111, Dataset!H:H), H111)</f>
        <v>335</v>
      </c>
      <c r="N111">
        <f>IF(I111="", AVERAGEIF(Dataset!D:D, D111, Dataset!I:I), I111)</f>
        <v>493.41</v>
      </c>
      <c r="O111">
        <f t="shared" si="4"/>
        <v>165292.35</v>
      </c>
      <c r="P111">
        <f t="shared" si="5"/>
        <v>144723.35</v>
      </c>
    </row>
    <row r="112" spans="1:16" ht="15" thickBot="1" x14ac:dyDescent="0.35">
      <c r="A112" s="1" t="s">
        <v>139</v>
      </c>
      <c r="B112" s="1" t="s">
        <v>17</v>
      </c>
      <c r="C112" s="1" t="s">
        <v>50</v>
      </c>
      <c r="D112" s="1" t="s">
        <v>23</v>
      </c>
      <c r="E112" s="1" t="s">
        <v>14</v>
      </c>
      <c r="F112" s="1" t="s">
        <v>28</v>
      </c>
      <c r="G112" s="2">
        <v>45037</v>
      </c>
      <c r="H112" s="3">
        <v>476</v>
      </c>
      <c r="I112" s="3">
        <v>65.87</v>
      </c>
      <c r="J112" s="3">
        <v>52.63</v>
      </c>
      <c r="K112" t="str">
        <f>IF(B112="", VLOOKUP(C112, Mapping!A:B, 2, FALSE), B112)</f>
        <v>West</v>
      </c>
      <c r="L112" t="str">
        <f t="shared" si="3"/>
        <v>Clothing</v>
      </c>
      <c r="M112">
        <f>IF(H112="", AVERAGEIF(Dataset!D:D, D112, Dataset!H:H), H112)</f>
        <v>476</v>
      </c>
      <c r="N112">
        <f>IF(I112="", AVERAGEIF(Dataset!D:D, D112, Dataset!I:I), I112)</f>
        <v>65.87</v>
      </c>
      <c r="O112">
        <f t="shared" si="4"/>
        <v>31354.120000000003</v>
      </c>
      <c r="P112">
        <f t="shared" si="5"/>
        <v>6302.2400000000007</v>
      </c>
    </row>
    <row r="113" spans="1:16" ht="29.4" thickBot="1" x14ac:dyDescent="0.35">
      <c r="A113" s="1" t="s">
        <v>140</v>
      </c>
      <c r="B113" s="1" t="s">
        <v>11</v>
      </c>
      <c r="C113" s="1" t="s">
        <v>26</v>
      </c>
      <c r="D113" s="1" t="s">
        <v>13</v>
      </c>
      <c r="E113" s="1" t="s">
        <v>14</v>
      </c>
      <c r="F113" s="1" t="s">
        <v>15</v>
      </c>
      <c r="G113" s="2">
        <v>45038</v>
      </c>
      <c r="H113" s="3">
        <v>423</v>
      </c>
      <c r="I113" s="3">
        <v>119.41</v>
      </c>
      <c r="J113" s="3">
        <v>346.13</v>
      </c>
      <c r="K113" t="str">
        <f>IF(B113="", VLOOKUP(C113, Mapping!A:B, 2, FALSE), B113)</f>
        <v>East</v>
      </c>
      <c r="L113" t="str">
        <f t="shared" si="3"/>
        <v>Beverages</v>
      </c>
      <c r="M113">
        <f>IF(H113="", AVERAGEIF(Dataset!D:D, D113, Dataset!H:H), H113)</f>
        <v>423</v>
      </c>
      <c r="N113">
        <f>IF(I113="", AVERAGEIF(Dataset!D:D, D113, Dataset!I:I), I113)</f>
        <v>119.41</v>
      </c>
      <c r="O113">
        <f t="shared" si="4"/>
        <v>50510.43</v>
      </c>
      <c r="P113">
        <f t="shared" si="5"/>
        <v>0</v>
      </c>
    </row>
    <row r="114" spans="1:16" ht="29.4" thickBot="1" x14ac:dyDescent="0.35">
      <c r="A114" s="1" t="s">
        <v>141</v>
      </c>
      <c r="B114" s="1" t="s">
        <v>17</v>
      </c>
      <c r="C114" s="1" t="s">
        <v>26</v>
      </c>
      <c r="D114" s="1" t="s">
        <v>13</v>
      </c>
      <c r="E114" s="1" t="s">
        <v>14</v>
      </c>
      <c r="F114" s="1" t="s">
        <v>15</v>
      </c>
      <c r="G114" s="2">
        <v>45039</v>
      </c>
      <c r="H114" s="3">
        <v>464</v>
      </c>
      <c r="I114" s="3">
        <v>30.59</v>
      </c>
      <c r="J114" s="3">
        <v>98.9</v>
      </c>
      <c r="K114" t="str">
        <f>IF(B114="", VLOOKUP(C114, Mapping!A:B, 2, FALSE), B114)</f>
        <v>West</v>
      </c>
      <c r="L114" t="str">
        <f t="shared" si="3"/>
        <v>Beverages</v>
      </c>
      <c r="M114">
        <f>IF(H114="", AVERAGEIF(Dataset!D:D, D114, Dataset!H:H), H114)</f>
        <v>464</v>
      </c>
      <c r="N114">
        <f>IF(I114="", AVERAGEIF(Dataset!D:D, D114, Dataset!I:I), I114)</f>
        <v>30.59</v>
      </c>
      <c r="O114">
        <f t="shared" si="4"/>
        <v>14193.76</v>
      </c>
      <c r="P114">
        <f t="shared" si="5"/>
        <v>0</v>
      </c>
    </row>
    <row r="115" spans="1:16" ht="29.4" thickBot="1" x14ac:dyDescent="0.35">
      <c r="A115" s="1" t="s">
        <v>142</v>
      </c>
      <c r="B115" s="1" t="s">
        <v>48</v>
      </c>
      <c r="C115" s="1" t="s">
        <v>31</v>
      </c>
      <c r="D115" s="1" t="s">
        <v>13</v>
      </c>
      <c r="E115" s="1" t="s">
        <v>24</v>
      </c>
      <c r="F115" s="1" t="s">
        <v>28</v>
      </c>
      <c r="G115" s="2">
        <v>45040</v>
      </c>
      <c r="H115" s="3">
        <v>83</v>
      </c>
      <c r="I115" s="3">
        <v>321.8</v>
      </c>
      <c r="J115" s="3">
        <v>261.38</v>
      </c>
      <c r="K115" t="str">
        <f>IF(B115="", VLOOKUP(C115, Mapping!A:B, 2, FALSE), B115)</f>
        <v>South</v>
      </c>
      <c r="L115" t="str">
        <f t="shared" si="3"/>
        <v>Beverages</v>
      </c>
      <c r="M115">
        <f>IF(H115="", AVERAGEIF(Dataset!D:D, D115, Dataset!H:H), H115)</f>
        <v>83</v>
      </c>
      <c r="N115">
        <f>IF(I115="", AVERAGEIF(Dataset!D:D, D115, Dataset!I:I), I115)</f>
        <v>321.8</v>
      </c>
      <c r="O115">
        <f t="shared" si="4"/>
        <v>26709.4</v>
      </c>
      <c r="P115">
        <f t="shared" si="5"/>
        <v>5014.8600000000015</v>
      </c>
    </row>
    <row r="116" spans="1:16" ht="29.4" thickBot="1" x14ac:dyDescent="0.35">
      <c r="A116" s="1" t="s">
        <v>143</v>
      </c>
      <c r="B116" s="1" t="s">
        <v>11</v>
      </c>
      <c r="C116" s="1" t="s">
        <v>26</v>
      </c>
      <c r="D116" s="1" t="s">
        <v>13</v>
      </c>
      <c r="E116" s="1" t="s">
        <v>14</v>
      </c>
      <c r="F116" s="1" t="s">
        <v>20</v>
      </c>
      <c r="G116" s="2">
        <v>45041</v>
      </c>
      <c r="H116" s="3">
        <v>242</v>
      </c>
      <c r="I116" s="3">
        <v>116.23</v>
      </c>
      <c r="J116" s="3">
        <v>324.64999999999998</v>
      </c>
      <c r="K116" t="str">
        <f>IF(B116="", VLOOKUP(C116, Mapping!A:B, 2, FALSE), B116)</f>
        <v>East</v>
      </c>
      <c r="L116" t="str">
        <f t="shared" si="3"/>
        <v>Beverages</v>
      </c>
      <c r="M116">
        <f>IF(H116="", AVERAGEIF(Dataset!D:D, D116, Dataset!H:H), H116)</f>
        <v>242</v>
      </c>
      <c r="N116">
        <f>IF(I116="", AVERAGEIF(Dataset!D:D, D116, Dataset!I:I), I116)</f>
        <v>116.23</v>
      </c>
      <c r="O116">
        <f t="shared" si="4"/>
        <v>28127.66</v>
      </c>
      <c r="P116">
        <f t="shared" si="5"/>
        <v>0</v>
      </c>
    </row>
    <row r="117" spans="1:16" ht="15" thickBot="1" x14ac:dyDescent="0.35">
      <c r="A117" s="1" t="s">
        <v>144</v>
      </c>
      <c r="B117" s="1" t="s">
        <v>17</v>
      </c>
      <c r="C117" s="1" t="s">
        <v>18</v>
      </c>
      <c r="D117" s="1" t="s">
        <v>27</v>
      </c>
      <c r="E117" s="1" t="s">
        <v>24</v>
      </c>
      <c r="F117" s="1" t="s">
        <v>20</v>
      </c>
      <c r="G117" s="2">
        <v>45042</v>
      </c>
      <c r="H117" s="3">
        <v>233</v>
      </c>
      <c r="I117" s="3">
        <v>94.11</v>
      </c>
      <c r="J117" s="3">
        <v>246.4</v>
      </c>
      <c r="K117" t="str">
        <f>IF(B117="", VLOOKUP(C117, Mapping!A:B, 2, FALSE), B117)</f>
        <v>West</v>
      </c>
      <c r="L117" t="str">
        <f t="shared" si="3"/>
        <v>Furniture</v>
      </c>
      <c r="M117">
        <f>IF(H117="", AVERAGEIF(Dataset!D:D, D117, Dataset!H:H), H117)</f>
        <v>233</v>
      </c>
      <c r="N117">
        <f>IF(I117="", AVERAGEIF(Dataset!D:D, D117, Dataset!I:I), I117)</f>
        <v>94.11</v>
      </c>
      <c r="O117">
        <f t="shared" si="4"/>
        <v>21927.63</v>
      </c>
      <c r="P117">
        <f t="shared" si="5"/>
        <v>0</v>
      </c>
    </row>
    <row r="118" spans="1:16" ht="15" thickBot="1" x14ac:dyDescent="0.35">
      <c r="A118" s="1" t="s">
        <v>145</v>
      </c>
      <c r="B118" s="1" t="s">
        <v>22</v>
      </c>
      <c r="C118" s="1" t="s">
        <v>50</v>
      </c>
      <c r="D118" s="1" t="s">
        <v>27</v>
      </c>
      <c r="E118" s="1" t="s">
        <v>24</v>
      </c>
      <c r="F118" s="1" t="s">
        <v>20</v>
      </c>
      <c r="G118" s="2">
        <v>45043</v>
      </c>
      <c r="H118" s="3">
        <v>491</v>
      </c>
      <c r="I118" s="3">
        <v>48.84</v>
      </c>
      <c r="J118" s="3">
        <v>344.11</v>
      </c>
      <c r="K118" t="str">
        <f>IF(B118="", VLOOKUP(C118, Mapping!A:B, 2, FALSE), B118)</f>
        <v>North</v>
      </c>
      <c r="L118" t="str">
        <f t="shared" si="3"/>
        <v>Furniture</v>
      </c>
      <c r="M118">
        <f>IF(H118="", AVERAGEIF(Dataset!D:D, D118, Dataset!H:H), H118)</f>
        <v>491</v>
      </c>
      <c r="N118">
        <f>IF(I118="", AVERAGEIF(Dataset!D:D, D118, Dataset!I:I), I118)</f>
        <v>48.84</v>
      </c>
      <c r="O118">
        <f t="shared" si="4"/>
        <v>23980.440000000002</v>
      </c>
      <c r="P118">
        <f t="shared" si="5"/>
        <v>0</v>
      </c>
    </row>
    <row r="119" spans="1:16" ht="15" thickBot="1" x14ac:dyDescent="0.35">
      <c r="A119" s="1" t="s">
        <v>146</v>
      </c>
      <c r="B119" s="1"/>
      <c r="C119" s="1" t="s">
        <v>12</v>
      </c>
      <c r="D119" s="1" t="s">
        <v>23</v>
      </c>
      <c r="E119" s="1" t="s">
        <v>24</v>
      </c>
      <c r="F119" s="1" t="s">
        <v>20</v>
      </c>
      <c r="G119" s="2">
        <v>45044</v>
      </c>
      <c r="H119" s="3">
        <v>328</v>
      </c>
      <c r="I119" s="3">
        <v>56.14</v>
      </c>
      <c r="J119" s="3">
        <v>158.16999999999999</v>
      </c>
      <c r="K119" t="str">
        <f>IF(B119="", VLOOKUP(C119, Mapping!A:B, 2, FALSE), B119)</f>
        <v>East</v>
      </c>
      <c r="L119" t="str">
        <f t="shared" si="3"/>
        <v>Clothing</v>
      </c>
      <c r="M119">
        <f>IF(H119="", AVERAGEIF(Dataset!D:D, D119, Dataset!H:H), H119)</f>
        <v>328</v>
      </c>
      <c r="N119">
        <f>IF(I119="", AVERAGEIF(Dataset!D:D, D119, Dataset!I:I), I119)</f>
        <v>56.14</v>
      </c>
      <c r="O119">
        <f t="shared" si="4"/>
        <v>18413.920000000002</v>
      </c>
      <c r="P119">
        <f t="shared" si="5"/>
        <v>0</v>
      </c>
    </row>
    <row r="120" spans="1:16" ht="29.4" thickBot="1" x14ac:dyDescent="0.35">
      <c r="A120" s="1" t="s">
        <v>147</v>
      </c>
      <c r="B120" s="1" t="s">
        <v>17</v>
      </c>
      <c r="C120" s="1" t="s">
        <v>26</v>
      </c>
      <c r="D120" s="1" t="s">
        <v>42</v>
      </c>
      <c r="E120" s="1" t="s">
        <v>24</v>
      </c>
      <c r="F120" s="1" t="s">
        <v>15</v>
      </c>
      <c r="G120" s="2">
        <v>45045</v>
      </c>
      <c r="H120" s="3">
        <v>421</v>
      </c>
      <c r="I120" s="3">
        <v>294.41000000000003</v>
      </c>
      <c r="J120" s="3">
        <v>382.58</v>
      </c>
      <c r="K120" t="str">
        <f>IF(B120="", VLOOKUP(C120, Mapping!A:B, 2, FALSE), B120)</f>
        <v>West</v>
      </c>
      <c r="L120" t="str">
        <f t="shared" si="3"/>
        <v>Electronics</v>
      </c>
      <c r="M120">
        <f>IF(H120="", AVERAGEIF(Dataset!D:D, D120, Dataset!H:H), H120)</f>
        <v>421</v>
      </c>
      <c r="N120">
        <f>IF(I120="", AVERAGEIF(Dataset!D:D, D120, Dataset!I:I), I120)</f>
        <v>294.41000000000003</v>
      </c>
      <c r="O120">
        <f t="shared" si="4"/>
        <v>123946.61000000002</v>
      </c>
      <c r="P120">
        <f t="shared" si="5"/>
        <v>0</v>
      </c>
    </row>
    <row r="121" spans="1:16" ht="29.4" thickBot="1" x14ac:dyDescent="0.35">
      <c r="A121" s="1" t="s">
        <v>148</v>
      </c>
      <c r="B121" s="1" t="s">
        <v>22</v>
      </c>
      <c r="C121" s="1" t="s">
        <v>18</v>
      </c>
      <c r="D121" s="1" t="s">
        <v>13</v>
      </c>
      <c r="E121" s="1" t="s">
        <v>24</v>
      </c>
      <c r="F121" s="1" t="s">
        <v>28</v>
      </c>
      <c r="G121" s="2">
        <v>45046</v>
      </c>
      <c r="H121" s="3">
        <v>69</v>
      </c>
      <c r="I121" s="3">
        <v>345.66</v>
      </c>
      <c r="J121" s="3">
        <v>54.99</v>
      </c>
      <c r="K121" t="str">
        <f>IF(B121="", VLOOKUP(C121, Mapping!A:B, 2, FALSE), B121)</f>
        <v>North</v>
      </c>
      <c r="L121" t="str">
        <f t="shared" si="3"/>
        <v>Beverages</v>
      </c>
      <c r="M121">
        <f>IF(H121="", AVERAGEIF(Dataset!D:D, D121, Dataset!H:H), H121)</f>
        <v>69</v>
      </c>
      <c r="N121">
        <f>IF(I121="", AVERAGEIF(Dataset!D:D, D121, Dataset!I:I), I121)</f>
        <v>345.66</v>
      </c>
      <c r="O121">
        <f t="shared" si="4"/>
        <v>23850.54</v>
      </c>
      <c r="P121">
        <f t="shared" si="5"/>
        <v>20056.23</v>
      </c>
    </row>
    <row r="122" spans="1:16" ht="29.4" thickBot="1" x14ac:dyDescent="0.35">
      <c r="A122" s="1" t="s">
        <v>149</v>
      </c>
      <c r="B122" s="1" t="s">
        <v>17</v>
      </c>
      <c r="C122" s="1" t="s">
        <v>12</v>
      </c>
      <c r="D122" s="1" t="s">
        <v>42</v>
      </c>
      <c r="E122" s="1" t="s">
        <v>24</v>
      </c>
      <c r="F122" s="1" t="s">
        <v>20</v>
      </c>
      <c r="G122" s="2">
        <v>45047</v>
      </c>
      <c r="H122" s="3">
        <v>344</v>
      </c>
      <c r="I122" s="3">
        <v>201.7</v>
      </c>
      <c r="J122" s="3">
        <v>42.66</v>
      </c>
      <c r="K122" t="str">
        <f>IF(B122="", VLOOKUP(C122, Mapping!A:B, 2, FALSE), B122)</f>
        <v>West</v>
      </c>
      <c r="L122" t="str">
        <f t="shared" si="3"/>
        <v>Electronics</v>
      </c>
      <c r="M122">
        <f>IF(H122="", AVERAGEIF(Dataset!D:D, D122, Dataset!H:H), H122)</f>
        <v>344</v>
      </c>
      <c r="N122">
        <f>IF(I122="", AVERAGEIF(Dataset!D:D, D122, Dataset!I:I), I122)</f>
        <v>201.7</v>
      </c>
      <c r="O122">
        <f t="shared" si="4"/>
        <v>69384.800000000003</v>
      </c>
      <c r="P122">
        <f t="shared" si="5"/>
        <v>54709.759999999995</v>
      </c>
    </row>
    <row r="123" spans="1:16" ht="29.4" thickBot="1" x14ac:dyDescent="0.35">
      <c r="A123" s="1" t="s">
        <v>150</v>
      </c>
      <c r="B123" s="1"/>
      <c r="C123" s="1" t="s">
        <v>50</v>
      </c>
      <c r="D123" s="1" t="s">
        <v>42</v>
      </c>
      <c r="E123" s="1" t="s">
        <v>14</v>
      </c>
      <c r="F123" s="1" t="s">
        <v>15</v>
      </c>
      <c r="G123" s="2">
        <v>45048</v>
      </c>
      <c r="H123" s="3">
        <v>231</v>
      </c>
      <c r="I123" s="3">
        <v>242.55</v>
      </c>
      <c r="J123" s="3">
        <v>264.16000000000003</v>
      </c>
      <c r="K123" t="str">
        <f>IF(B123="", VLOOKUP(C123, Mapping!A:B, 2, FALSE), B123)</f>
        <v>South</v>
      </c>
      <c r="L123" t="str">
        <f t="shared" si="3"/>
        <v>Electronics</v>
      </c>
      <c r="M123">
        <f>IF(H123="", AVERAGEIF(Dataset!D:D, D123, Dataset!H:H), H123)</f>
        <v>231</v>
      </c>
      <c r="N123">
        <f>IF(I123="", AVERAGEIF(Dataset!D:D, D123, Dataset!I:I), I123)</f>
        <v>242.55</v>
      </c>
      <c r="O123">
        <f t="shared" si="4"/>
        <v>56029.05</v>
      </c>
      <c r="P123">
        <f t="shared" si="5"/>
        <v>0</v>
      </c>
    </row>
    <row r="124" spans="1:16" ht="15" thickBot="1" x14ac:dyDescent="0.35">
      <c r="A124" s="1" t="s">
        <v>151</v>
      </c>
      <c r="B124" s="1" t="s">
        <v>48</v>
      </c>
      <c r="C124" s="1" t="s">
        <v>12</v>
      </c>
      <c r="D124" s="1" t="s">
        <v>23</v>
      </c>
      <c r="E124" s="1" t="s">
        <v>14</v>
      </c>
      <c r="F124" s="1" t="s">
        <v>20</v>
      </c>
      <c r="G124" s="2">
        <v>45049</v>
      </c>
      <c r="H124" s="3">
        <v>46</v>
      </c>
      <c r="I124" s="3">
        <v>344.55</v>
      </c>
      <c r="J124" s="3">
        <v>377.25</v>
      </c>
      <c r="K124" t="str">
        <f>IF(B124="", VLOOKUP(C124, Mapping!A:B, 2, FALSE), B124)</f>
        <v>South</v>
      </c>
      <c r="L124" t="str">
        <f t="shared" si="3"/>
        <v>Clothing</v>
      </c>
      <c r="M124">
        <f>IF(H124="", AVERAGEIF(Dataset!D:D, D124, Dataset!H:H), H124)</f>
        <v>46</v>
      </c>
      <c r="N124">
        <f>IF(I124="", AVERAGEIF(Dataset!D:D, D124, Dataset!I:I), I124)</f>
        <v>344.55</v>
      </c>
      <c r="O124">
        <f t="shared" si="4"/>
        <v>15849.300000000001</v>
      </c>
      <c r="P124">
        <f t="shared" si="5"/>
        <v>0</v>
      </c>
    </row>
    <row r="125" spans="1:16" ht="29.4" thickBot="1" x14ac:dyDescent="0.35">
      <c r="A125" s="1" t="s">
        <v>152</v>
      </c>
      <c r="B125" s="1" t="s">
        <v>11</v>
      </c>
      <c r="C125" s="1" t="s">
        <v>18</v>
      </c>
      <c r="D125" s="1" t="s">
        <v>13</v>
      </c>
      <c r="E125" s="1" t="s">
        <v>24</v>
      </c>
      <c r="F125" s="1" t="s">
        <v>28</v>
      </c>
      <c r="G125" s="2">
        <v>45050</v>
      </c>
      <c r="H125" s="3">
        <v>486</v>
      </c>
      <c r="I125" s="3">
        <v>13.6</v>
      </c>
      <c r="J125" s="3">
        <v>323.94</v>
      </c>
      <c r="K125" t="str">
        <f>IF(B125="", VLOOKUP(C125, Mapping!A:B, 2, FALSE), B125)</f>
        <v>East</v>
      </c>
      <c r="L125" t="str">
        <f t="shared" si="3"/>
        <v>Beverages</v>
      </c>
      <c r="M125">
        <f>IF(H125="", AVERAGEIF(Dataset!D:D, D125, Dataset!H:H), H125)</f>
        <v>486</v>
      </c>
      <c r="N125">
        <f>IF(I125="", AVERAGEIF(Dataset!D:D, D125, Dataset!I:I), I125)</f>
        <v>13.6</v>
      </c>
      <c r="O125">
        <f t="shared" si="4"/>
        <v>6609.5999999999995</v>
      </c>
      <c r="P125">
        <f t="shared" si="5"/>
        <v>0</v>
      </c>
    </row>
    <row r="126" spans="1:16" ht="29.4" thickBot="1" x14ac:dyDescent="0.35">
      <c r="A126" s="1" t="s">
        <v>153</v>
      </c>
      <c r="B126" s="1" t="s">
        <v>22</v>
      </c>
      <c r="C126" s="1" t="s">
        <v>12</v>
      </c>
      <c r="D126" s="1" t="s">
        <v>13</v>
      </c>
      <c r="E126" s="1" t="s">
        <v>24</v>
      </c>
      <c r="F126" s="1" t="s">
        <v>15</v>
      </c>
      <c r="G126" s="2">
        <v>45051</v>
      </c>
      <c r="H126" s="3">
        <v>287</v>
      </c>
      <c r="I126" s="3">
        <v>164.95</v>
      </c>
      <c r="J126" s="3">
        <v>32.409999999999997</v>
      </c>
      <c r="K126" t="str">
        <f>IF(B126="", VLOOKUP(C126, Mapping!A:B, 2, FALSE), B126)</f>
        <v>North</v>
      </c>
      <c r="L126" t="str">
        <f t="shared" si="3"/>
        <v>Beverages</v>
      </c>
      <c r="M126">
        <f>IF(H126="", AVERAGEIF(Dataset!D:D, D126, Dataset!H:H), H126)</f>
        <v>287</v>
      </c>
      <c r="N126">
        <f>IF(I126="", AVERAGEIF(Dataset!D:D, D126, Dataset!I:I), I126)</f>
        <v>164.95</v>
      </c>
      <c r="O126">
        <f t="shared" si="4"/>
        <v>47340.649999999994</v>
      </c>
      <c r="P126">
        <f t="shared" si="5"/>
        <v>38038.979999999996</v>
      </c>
    </row>
    <row r="127" spans="1:16" ht="15" thickBot="1" x14ac:dyDescent="0.35">
      <c r="A127" s="1" t="s">
        <v>154</v>
      </c>
      <c r="B127" s="1" t="s">
        <v>17</v>
      </c>
      <c r="C127" s="1" t="s">
        <v>31</v>
      </c>
      <c r="D127" s="1" t="s">
        <v>19</v>
      </c>
      <c r="E127" s="1" t="s">
        <v>14</v>
      </c>
      <c r="F127" s="1" t="s">
        <v>28</v>
      </c>
      <c r="G127" s="2">
        <v>45052</v>
      </c>
      <c r="H127" s="3">
        <v>205</v>
      </c>
      <c r="I127" s="3">
        <v>486.68</v>
      </c>
      <c r="J127" s="3">
        <v>113.19</v>
      </c>
      <c r="K127" t="str">
        <f>IF(B127="", VLOOKUP(C127, Mapping!A:B, 2, FALSE), B127)</f>
        <v>West</v>
      </c>
      <c r="L127" t="str">
        <f t="shared" si="3"/>
        <v>Food</v>
      </c>
      <c r="M127">
        <f>IF(H127="", AVERAGEIF(Dataset!D:D, D127, Dataset!H:H), H127)</f>
        <v>205</v>
      </c>
      <c r="N127">
        <f>IF(I127="", AVERAGEIF(Dataset!D:D, D127, Dataset!I:I), I127)</f>
        <v>486.68</v>
      </c>
      <c r="O127">
        <f t="shared" si="4"/>
        <v>99769.4</v>
      </c>
      <c r="P127">
        <f t="shared" si="5"/>
        <v>76565.45</v>
      </c>
    </row>
    <row r="128" spans="1:16" ht="29.4" thickBot="1" x14ac:dyDescent="0.35">
      <c r="A128" s="1" t="s">
        <v>155</v>
      </c>
      <c r="B128" s="1" t="s">
        <v>48</v>
      </c>
      <c r="C128" s="1" t="s">
        <v>12</v>
      </c>
      <c r="D128" s="1" t="s">
        <v>42</v>
      </c>
      <c r="E128" s="1" t="s">
        <v>24</v>
      </c>
      <c r="F128" s="1" t="s">
        <v>28</v>
      </c>
      <c r="G128" s="2">
        <v>45053</v>
      </c>
      <c r="H128" s="3">
        <v>413</v>
      </c>
      <c r="I128" s="3">
        <v>292.16000000000003</v>
      </c>
      <c r="J128" s="3">
        <v>372.27</v>
      </c>
      <c r="K128" t="str">
        <f>IF(B128="", VLOOKUP(C128, Mapping!A:B, 2, FALSE), B128)</f>
        <v>South</v>
      </c>
      <c r="L128" t="str">
        <f t="shared" si="3"/>
        <v>Electronics</v>
      </c>
      <c r="M128">
        <f>IF(H128="", AVERAGEIF(Dataset!D:D, D128, Dataset!H:H), H128)</f>
        <v>413</v>
      </c>
      <c r="N128">
        <f>IF(I128="", AVERAGEIF(Dataset!D:D, D128, Dataset!I:I), I128)</f>
        <v>292.16000000000003</v>
      </c>
      <c r="O128">
        <f t="shared" si="4"/>
        <v>120662.08000000002</v>
      </c>
      <c r="P128">
        <f t="shared" si="5"/>
        <v>0</v>
      </c>
    </row>
    <row r="129" spans="1:16" ht="29.4" thickBot="1" x14ac:dyDescent="0.35">
      <c r="A129" s="1" t="s">
        <v>156</v>
      </c>
      <c r="B129" s="1" t="s">
        <v>22</v>
      </c>
      <c r="C129" s="1" t="s">
        <v>26</v>
      </c>
      <c r="D129" s="1" t="s">
        <v>42</v>
      </c>
      <c r="E129" s="1" t="s">
        <v>24</v>
      </c>
      <c r="F129" s="1" t="s">
        <v>15</v>
      </c>
      <c r="G129" s="2">
        <v>45054</v>
      </c>
      <c r="H129" s="3">
        <v>361</v>
      </c>
      <c r="I129" s="3">
        <v>130.84</v>
      </c>
      <c r="J129" s="3">
        <v>102.72</v>
      </c>
      <c r="K129" t="str">
        <f>IF(B129="", VLOOKUP(C129, Mapping!A:B, 2, FALSE), B129)</f>
        <v>North</v>
      </c>
      <c r="L129" t="str">
        <f t="shared" si="3"/>
        <v>Electronics</v>
      </c>
      <c r="M129">
        <f>IF(H129="", AVERAGEIF(Dataset!D:D, D129, Dataset!H:H), H129)</f>
        <v>361</v>
      </c>
      <c r="N129">
        <f>IF(I129="", AVERAGEIF(Dataset!D:D, D129, Dataset!I:I), I129)</f>
        <v>130.84</v>
      </c>
      <c r="O129">
        <f t="shared" si="4"/>
        <v>47233.24</v>
      </c>
      <c r="P129">
        <f t="shared" si="5"/>
        <v>10151.320000000002</v>
      </c>
    </row>
    <row r="130" spans="1:16" ht="15" thickBot="1" x14ac:dyDescent="0.35">
      <c r="A130" s="1" t="s">
        <v>157</v>
      </c>
      <c r="B130" s="1" t="s">
        <v>17</v>
      </c>
      <c r="C130" s="1" t="s">
        <v>26</v>
      </c>
      <c r="D130" s="1" t="s">
        <v>27</v>
      </c>
      <c r="E130" s="1" t="s">
        <v>14</v>
      </c>
      <c r="F130" s="1" t="s">
        <v>15</v>
      </c>
      <c r="G130" s="2">
        <v>45055</v>
      </c>
      <c r="H130" s="3">
        <v>493</v>
      </c>
      <c r="I130" s="3">
        <v>263.26</v>
      </c>
      <c r="J130" s="3">
        <v>312.91000000000003</v>
      </c>
      <c r="K130" t="str">
        <f>IF(B130="", VLOOKUP(C130, Mapping!A:B, 2, FALSE), B130)</f>
        <v>West</v>
      </c>
      <c r="L130" t="str">
        <f t="shared" si="3"/>
        <v>Furniture</v>
      </c>
      <c r="M130">
        <f>IF(H130="", AVERAGEIF(Dataset!D:D, D130, Dataset!H:H), H130)</f>
        <v>493</v>
      </c>
      <c r="N130">
        <f>IF(I130="", AVERAGEIF(Dataset!D:D, D130, Dataset!I:I), I130)</f>
        <v>263.26</v>
      </c>
      <c r="O130">
        <f t="shared" si="4"/>
        <v>129787.18</v>
      </c>
      <c r="P130">
        <f t="shared" si="5"/>
        <v>0</v>
      </c>
    </row>
    <row r="131" spans="1:16" ht="15" thickBot="1" x14ac:dyDescent="0.35">
      <c r="A131" s="1" t="s">
        <v>158</v>
      </c>
      <c r="B131" s="1" t="s">
        <v>17</v>
      </c>
      <c r="C131" s="1" t="s">
        <v>31</v>
      </c>
      <c r="D131" s="1" t="s">
        <v>19</v>
      </c>
      <c r="E131" s="1" t="s">
        <v>24</v>
      </c>
      <c r="F131" s="1" t="s">
        <v>15</v>
      </c>
      <c r="G131" s="2">
        <v>45056</v>
      </c>
      <c r="H131" s="3">
        <v>251</v>
      </c>
      <c r="I131" s="3">
        <v>174.61</v>
      </c>
      <c r="J131" s="3">
        <v>330.4</v>
      </c>
      <c r="K131" t="str">
        <f>IF(B131="", VLOOKUP(C131, Mapping!A:B, 2, FALSE), B131)</f>
        <v>West</v>
      </c>
      <c r="L131" t="str">
        <f t="shared" ref="L131:L194" si="6">IF(D131="", IF(H131&lt;100,"Clothing", IF(H131&lt;=250,"Food", IF(H131&lt;=400,"Furniture","Electronics"))), D131)</f>
        <v>Food</v>
      </c>
      <c r="M131">
        <f>IF(H131="", AVERAGEIF(Dataset!D:D, D131, Dataset!H:H), H131)</f>
        <v>251</v>
      </c>
      <c r="N131">
        <f>IF(I131="", AVERAGEIF(Dataset!D:D, D131, Dataset!I:I), I131)</f>
        <v>174.61</v>
      </c>
      <c r="O131">
        <f t="shared" ref="O131:O194" si="7">IF(OR(H131="",I131=""),"",H131*I131)</f>
        <v>43827.11</v>
      </c>
      <c r="P131">
        <f t="shared" ref="P131:P194" si="8">MAX(0, H131*(I131-J131))</f>
        <v>0</v>
      </c>
    </row>
    <row r="132" spans="1:16" ht="15" thickBot="1" x14ac:dyDescent="0.35">
      <c r="A132" s="1" t="s">
        <v>159</v>
      </c>
      <c r="B132" s="1" t="s">
        <v>17</v>
      </c>
      <c r="C132" s="1" t="s">
        <v>18</v>
      </c>
      <c r="D132" s="1" t="s">
        <v>27</v>
      </c>
      <c r="E132" s="1" t="s">
        <v>24</v>
      </c>
      <c r="F132" s="1" t="s">
        <v>15</v>
      </c>
      <c r="G132" s="2">
        <v>45057</v>
      </c>
      <c r="H132" s="1"/>
      <c r="I132" s="3">
        <v>268.45999999999998</v>
      </c>
      <c r="J132" s="3">
        <v>199.19</v>
      </c>
      <c r="K132" t="str">
        <f>IF(B132="", VLOOKUP(C132, Mapping!A:B, 2, FALSE), B132)</f>
        <v>West</v>
      </c>
      <c r="L132" t="str">
        <f t="shared" si="6"/>
        <v>Furniture</v>
      </c>
      <c r="M132">
        <f>IF(H132="", AVERAGEIF(Dataset!D:D, D132, Dataset!H:H), H132)</f>
        <v>254.52238805970148</v>
      </c>
      <c r="N132">
        <f>IF(I132="", AVERAGEIF(Dataset!D:D, D132, Dataset!I:I), I132)</f>
        <v>268.45999999999998</v>
      </c>
      <c r="O132" t="str">
        <f t="shared" si="7"/>
        <v/>
      </c>
      <c r="P132">
        <f t="shared" si="8"/>
        <v>0</v>
      </c>
    </row>
    <row r="133" spans="1:16" ht="15" thickBot="1" x14ac:dyDescent="0.35">
      <c r="A133" s="1" t="s">
        <v>160</v>
      </c>
      <c r="B133" s="1" t="s">
        <v>22</v>
      </c>
      <c r="C133" s="1" t="s">
        <v>26</v>
      </c>
      <c r="D133" s="1" t="s">
        <v>27</v>
      </c>
      <c r="E133" s="1" t="s">
        <v>24</v>
      </c>
      <c r="F133" s="1" t="s">
        <v>15</v>
      </c>
      <c r="G133" s="2">
        <v>45058</v>
      </c>
      <c r="H133" s="3">
        <v>228</v>
      </c>
      <c r="I133" s="3">
        <v>67.239999999999995</v>
      </c>
      <c r="J133" s="3">
        <v>155.77000000000001</v>
      </c>
      <c r="K133" t="str">
        <f>IF(B133="", VLOOKUP(C133, Mapping!A:B, 2, FALSE), B133)</f>
        <v>North</v>
      </c>
      <c r="L133" t="str">
        <f t="shared" si="6"/>
        <v>Furniture</v>
      </c>
      <c r="M133">
        <f>IF(H133="", AVERAGEIF(Dataset!D:D, D133, Dataset!H:H), H133)</f>
        <v>228</v>
      </c>
      <c r="N133">
        <f>IF(I133="", AVERAGEIF(Dataset!D:D, D133, Dataset!I:I), I133)</f>
        <v>67.239999999999995</v>
      </c>
      <c r="O133">
        <f t="shared" si="7"/>
        <v>15330.72</v>
      </c>
      <c r="P133">
        <f t="shared" si="8"/>
        <v>0</v>
      </c>
    </row>
    <row r="134" spans="1:16" ht="15" thickBot="1" x14ac:dyDescent="0.35">
      <c r="A134" s="1" t="s">
        <v>161</v>
      </c>
      <c r="B134" s="1" t="s">
        <v>22</v>
      </c>
      <c r="C134" s="1" t="s">
        <v>50</v>
      </c>
      <c r="D134" s="1" t="s">
        <v>27</v>
      </c>
      <c r="E134" s="1" t="s">
        <v>14</v>
      </c>
      <c r="F134" s="1" t="s">
        <v>15</v>
      </c>
      <c r="G134" s="2">
        <v>45059</v>
      </c>
      <c r="H134" s="3">
        <v>201</v>
      </c>
      <c r="I134" s="3">
        <v>70.69</v>
      </c>
      <c r="J134" s="3">
        <v>181.15</v>
      </c>
      <c r="K134" t="str">
        <f>IF(B134="", VLOOKUP(C134, Mapping!A:B, 2, FALSE), B134)</f>
        <v>North</v>
      </c>
      <c r="L134" t="str">
        <f t="shared" si="6"/>
        <v>Furniture</v>
      </c>
      <c r="M134">
        <f>IF(H134="", AVERAGEIF(Dataset!D:D, D134, Dataset!H:H), H134)</f>
        <v>201</v>
      </c>
      <c r="N134">
        <f>IF(I134="", AVERAGEIF(Dataset!D:D, D134, Dataset!I:I), I134)</f>
        <v>70.69</v>
      </c>
      <c r="O134">
        <f t="shared" si="7"/>
        <v>14208.689999999999</v>
      </c>
      <c r="P134">
        <f t="shared" si="8"/>
        <v>0</v>
      </c>
    </row>
    <row r="135" spans="1:16" ht="15" thickBot="1" x14ac:dyDescent="0.35">
      <c r="A135" s="1" t="s">
        <v>162</v>
      </c>
      <c r="B135" s="1" t="s">
        <v>22</v>
      </c>
      <c r="C135" s="1" t="s">
        <v>26</v>
      </c>
      <c r="D135" s="1" t="s">
        <v>23</v>
      </c>
      <c r="E135" s="1" t="s">
        <v>14</v>
      </c>
      <c r="F135" s="1" t="s">
        <v>15</v>
      </c>
      <c r="G135" s="2">
        <v>45060</v>
      </c>
      <c r="H135" s="3">
        <v>26</v>
      </c>
      <c r="I135" s="3">
        <v>76.05</v>
      </c>
      <c r="J135" s="3">
        <v>92.33</v>
      </c>
      <c r="K135" t="str">
        <f>IF(B135="", VLOOKUP(C135, Mapping!A:B, 2, FALSE), B135)</f>
        <v>North</v>
      </c>
      <c r="L135" t="str">
        <f t="shared" si="6"/>
        <v>Clothing</v>
      </c>
      <c r="M135">
        <f>IF(H135="", AVERAGEIF(Dataset!D:D, D135, Dataset!H:H), H135)</f>
        <v>26</v>
      </c>
      <c r="N135">
        <f>IF(I135="", AVERAGEIF(Dataset!D:D, D135, Dataset!I:I), I135)</f>
        <v>76.05</v>
      </c>
      <c r="O135">
        <f t="shared" si="7"/>
        <v>1977.3</v>
      </c>
      <c r="P135">
        <f t="shared" si="8"/>
        <v>0</v>
      </c>
    </row>
    <row r="136" spans="1:16" ht="15" thickBot="1" x14ac:dyDescent="0.35">
      <c r="A136" s="1" t="s">
        <v>163</v>
      </c>
      <c r="B136" s="1" t="s">
        <v>11</v>
      </c>
      <c r="C136" s="1" t="s">
        <v>26</v>
      </c>
      <c r="D136" s="1" t="s">
        <v>23</v>
      </c>
      <c r="E136" s="1" t="s">
        <v>14</v>
      </c>
      <c r="F136" s="1" t="s">
        <v>20</v>
      </c>
      <c r="G136" s="2">
        <v>45061</v>
      </c>
      <c r="H136" s="3">
        <v>21</v>
      </c>
      <c r="I136" s="3">
        <v>470.21</v>
      </c>
      <c r="J136" s="3">
        <v>355.98</v>
      </c>
      <c r="K136" t="str">
        <f>IF(B136="", VLOOKUP(C136, Mapping!A:B, 2, FALSE), B136)</f>
        <v>East</v>
      </c>
      <c r="L136" t="str">
        <f t="shared" si="6"/>
        <v>Clothing</v>
      </c>
      <c r="M136">
        <f>IF(H136="", AVERAGEIF(Dataset!D:D, D136, Dataset!H:H), H136)</f>
        <v>21</v>
      </c>
      <c r="N136">
        <f>IF(I136="", AVERAGEIF(Dataset!D:D, D136, Dataset!I:I), I136)</f>
        <v>470.21</v>
      </c>
      <c r="O136">
        <f t="shared" si="7"/>
        <v>9874.41</v>
      </c>
      <c r="P136">
        <f t="shared" si="8"/>
        <v>2398.829999999999</v>
      </c>
    </row>
    <row r="137" spans="1:16" ht="15" thickBot="1" x14ac:dyDescent="0.35">
      <c r="A137" s="1" t="s">
        <v>164</v>
      </c>
      <c r="B137" s="1" t="s">
        <v>22</v>
      </c>
      <c r="C137" s="1" t="s">
        <v>18</v>
      </c>
      <c r="D137" s="1" t="s">
        <v>27</v>
      </c>
      <c r="E137" s="1" t="s">
        <v>24</v>
      </c>
      <c r="F137" s="1" t="s">
        <v>28</v>
      </c>
      <c r="G137" s="2">
        <v>45062</v>
      </c>
      <c r="H137" s="3">
        <v>415</v>
      </c>
      <c r="I137" s="3">
        <v>367.78</v>
      </c>
      <c r="J137" s="3">
        <v>181.35</v>
      </c>
      <c r="K137" t="str">
        <f>IF(B137="", VLOOKUP(C137, Mapping!A:B, 2, FALSE), B137)</f>
        <v>North</v>
      </c>
      <c r="L137" t="str">
        <f t="shared" si="6"/>
        <v>Furniture</v>
      </c>
      <c r="M137">
        <f>IF(H137="", AVERAGEIF(Dataset!D:D, D137, Dataset!H:H), H137)</f>
        <v>415</v>
      </c>
      <c r="N137">
        <f>IF(I137="", AVERAGEIF(Dataset!D:D, D137, Dataset!I:I), I137)</f>
        <v>367.78</v>
      </c>
      <c r="O137">
        <f t="shared" si="7"/>
        <v>152628.69999999998</v>
      </c>
      <c r="P137">
        <f t="shared" si="8"/>
        <v>77368.45</v>
      </c>
    </row>
    <row r="138" spans="1:16" ht="15" thickBot="1" x14ac:dyDescent="0.35">
      <c r="A138" s="1" t="s">
        <v>165</v>
      </c>
      <c r="B138" s="1" t="s">
        <v>22</v>
      </c>
      <c r="C138" s="1" t="s">
        <v>12</v>
      </c>
      <c r="D138" s="1" t="s">
        <v>19</v>
      </c>
      <c r="E138" s="1" t="s">
        <v>24</v>
      </c>
      <c r="F138" s="1" t="s">
        <v>15</v>
      </c>
      <c r="G138" s="2">
        <v>45063</v>
      </c>
      <c r="H138" s="3">
        <v>410</v>
      </c>
      <c r="I138" s="3">
        <v>85.38</v>
      </c>
      <c r="J138" s="3">
        <v>353.22</v>
      </c>
      <c r="K138" t="str">
        <f>IF(B138="", VLOOKUP(C138, Mapping!A:B, 2, FALSE), B138)</f>
        <v>North</v>
      </c>
      <c r="L138" t="str">
        <f t="shared" si="6"/>
        <v>Food</v>
      </c>
      <c r="M138">
        <f>IF(H138="", AVERAGEIF(Dataset!D:D, D138, Dataset!H:H), H138)</f>
        <v>410</v>
      </c>
      <c r="N138">
        <f>IF(I138="", AVERAGEIF(Dataset!D:D, D138, Dataset!I:I), I138)</f>
        <v>85.38</v>
      </c>
      <c r="O138">
        <f t="shared" si="7"/>
        <v>35005.799999999996</v>
      </c>
      <c r="P138">
        <f t="shared" si="8"/>
        <v>0</v>
      </c>
    </row>
    <row r="139" spans="1:16" ht="29.4" thickBot="1" x14ac:dyDescent="0.35">
      <c r="A139" s="1" t="s">
        <v>166</v>
      </c>
      <c r="B139" s="1" t="s">
        <v>22</v>
      </c>
      <c r="C139" s="1" t="s">
        <v>26</v>
      </c>
      <c r="D139" s="1" t="s">
        <v>42</v>
      </c>
      <c r="E139" s="1" t="s">
        <v>14</v>
      </c>
      <c r="F139" s="1" t="s">
        <v>20</v>
      </c>
      <c r="G139" s="2">
        <v>45064</v>
      </c>
      <c r="H139" s="3">
        <v>403</v>
      </c>
      <c r="I139" s="3">
        <v>98.23</v>
      </c>
      <c r="J139" s="3">
        <v>44.07</v>
      </c>
      <c r="K139" t="str">
        <f>IF(B139="", VLOOKUP(C139, Mapping!A:B, 2, FALSE), B139)</f>
        <v>North</v>
      </c>
      <c r="L139" t="str">
        <f t="shared" si="6"/>
        <v>Electronics</v>
      </c>
      <c r="M139">
        <f>IF(H139="", AVERAGEIF(Dataset!D:D, D139, Dataset!H:H), H139)</f>
        <v>403</v>
      </c>
      <c r="N139">
        <f>IF(I139="", AVERAGEIF(Dataset!D:D, D139, Dataset!I:I), I139)</f>
        <v>98.23</v>
      </c>
      <c r="O139">
        <f t="shared" si="7"/>
        <v>39586.69</v>
      </c>
      <c r="P139">
        <f t="shared" si="8"/>
        <v>21826.480000000003</v>
      </c>
    </row>
    <row r="140" spans="1:16" ht="15" thickBot="1" x14ac:dyDescent="0.35">
      <c r="A140" s="1" t="s">
        <v>167</v>
      </c>
      <c r="B140" s="1" t="s">
        <v>11</v>
      </c>
      <c r="C140" s="1" t="s">
        <v>31</v>
      </c>
      <c r="D140" s="1" t="s">
        <v>19</v>
      </c>
      <c r="E140" s="1" t="s">
        <v>24</v>
      </c>
      <c r="F140" s="1" t="s">
        <v>20</v>
      </c>
      <c r="G140" s="2">
        <v>45065</v>
      </c>
      <c r="H140" s="3">
        <v>383</v>
      </c>
      <c r="I140" s="3">
        <v>366.76</v>
      </c>
      <c r="J140" s="3">
        <v>395.33</v>
      </c>
      <c r="K140" t="str">
        <f>IF(B140="", VLOOKUP(C140, Mapping!A:B, 2, FALSE), B140)</f>
        <v>East</v>
      </c>
      <c r="L140" t="str">
        <f t="shared" si="6"/>
        <v>Food</v>
      </c>
      <c r="M140">
        <f>IF(H140="", AVERAGEIF(Dataset!D:D, D140, Dataset!H:H), H140)</f>
        <v>383</v>
      </c>
      <c r="N140">
        <f>IF(I140="", AVERAGEIF(Dataset!D:D, D140, Dataset!I:I), I140)</f>
        <v>366.76</v>
      </c>
      <c r="O140">
        <f t="shared" si="7"/>
        <v>140469.07999999999</v>
      </c>
      <c r="P140">
        <f t="shared" si="8"/>
        <v>0</v>
      </c>
    </row>
    <row r="141" spans="1:16" ht="29.4" thickBot="1" x14ac:dyDescent="0.35">
      <c r="A141" s="1" t="s">
        <v>168</v>
      </c>
      <c r="B141" s="1" t="s">
        <v>22</v>
      </c>
      <c r="C141" s="1" t="s">
        <v>12</v>
      </c>
      <c r="D141" s="1" t="s">
        <v>13</v>
      </c>
      <c r="E141" s="1" t="s">
        <v>24</v>
      </c>
      <c r="F141" s="1" t="s">
        <v>20</v>
      </c>
      <c r="G141" s="2">
        <v>45066</v>
      </c>
      <c r="H141" s="3">
        <v>202</v>
      </c>
      <c r="I141" s="3">
        <v>82.3</v>
      </c>
      <c r="J141" s="3">
        <v>178.42</v>
      </c>
      <c r="K141" t="str">
        <f>IF(B141="", VLOOKUP(C141, Mapping!A:B, 2, FALSE), B141)</f>
        <v>North</v>
      </c>
      <c r="L141" t="str">
        <f t="shared" si="6"/>
        <v>Beverages</v>
      </c>
      <c r="M141">
        <f>IF(H141="", AVERAGEIF(Dataset!D:D, D141, Dataset!H:H), H141)</f>
        <v>202</v>
      </c>
      <c r="N141">
        <f>IF(I141="", AVERAGEIF(Dataset!D:D, D141, Dataset!I:I), I141)</f>
        <v>82.3</v>
      </c>
      <c r="O141">
        <f t="shared" si="7"/>
        <v>16624.599999999999</v>
      </c>
      <c r="P141">
        <f t="shared" si="8"/>
        <v>0</v>
      </c>
    </row>
    <row r="142" spans="1:16" ht="15" thickBot="1" x14ac:dyDescent="0.35">
      <c r="A142" s="1" t="s">
        <v>169</v>
      </c>
      <c r="B142" s="1" t="s">
        <v>17</v>
      </c>
      <c r="C142" s="1" t="s">
        <v>50</v>
      </c>
      <c r="D142" s="1" t="s">
        <v>23</v>
      </c>
      <c r="E142" s="1" t="s">
        <v>24</v>
      </c>
      <c r="F142" s="1" t="s">
        <v>28</v>
      </c>
      <c r="G142" s="2">
        <v>45067</v>
      </c>
      <c r="H142" s="3">
        <v>31</v>
      </c>
      <c r="I142" s="3">
        <v>121.11</v>
      </c>
      <c r="J142" s="3">
        <v>21.04</v>
      </c>
      <c r="K142" t="str">
        <f>IF(B142="", VLOOKUP(C142, Mapping!A:B, 2, FALSE), B142)</f>
        <v>West</v>
      </c>
      <c r="L142" t="str">
        <f t="shared" si="6"/>
        <v>Clothing</v>
      </c>
      <c r="M142">
        <f>IF(H142="", AVERAGEIF(Dataset!D:D, D142, Dataset!H:H), H142)</f>
        <v>31</v>
      </c>
      <c r="N142">
        <f>IF(I142="", AVERAGEIF(Dataset!D:D, D142, Dataset!I:I), I142)</f>
        <v>121.11</v>
      </c>
      <c r="O142">
        <f t="shared" si="7"/>
        <v>3754.41</v>
      </c>
      <c r="P142">
        <f t="shared" si="8"/>
        <v>3102.1699999999996</v>
      </c>
    </row>
    <row r="143" spans="1:16" ht="29.4" thickBot="1" x14ac:dyDescent="0.35">
      <c r="A143" s="1" t="s">
        <v>170</v>
      </c>
      <c r="B143" s="1" t="s">
        <v>22</v>
      </c>
      <c r="C143" s="1" t="s">
        <v>18</v>
      </c>
      <c r="D143" s="1" t="s">
        <v>42</v>
      </c>
      <c r="E143" s="1" t="s">
        <v>24</v>
      </c>
      <c r="F143" s="1" t="s">
        <v>15</v>
      </c>
      <c r="G143" s="2">
        <v>45068</v>
      </c>
      <c r="H143" s="3">
        <v>483</v>
      </c>
      <c r="I143" s="3">
        <v>481.86</v>
      </c>
      <c r="J143" s="3">
        <v>17.13</v>
      </c>
      <c r="K143" t="str">
        <f>IF(B143="", VLOOKUP(C143, Mapping!A:B, 2, FALSE), B143)</f>
        <v>North</v>
      </c>
      <c r="L143" t="str">
        <f t="shared" si="6"/>
        <v>Electronics</v>
      </c>
      <c r="M143">
        <f>IF(H143="", AVERAGEIF(Dataset!D:D, D143, Dataset!H:H), H143)</f>
        <v>483</v>
      </c>
      <c r="N143">
        <f>IF(I143="", AVERAGEIF(Dataset!D:D, D143, Dataset!I:I), I143)</f>
        <v>481.86</v>
      </c>
      <c r="O143">
        <f t="shared" si="7"/>
        <v>232738.38</v>
      </c>
      <c r="P143">
        <f t="shared" si="8"/>
        <v>224464.59</v>
      </c>
    </row>
    <row r="144" spans="1:16" ht="29.4" thickBot="1" x14ac:dyDescent="0.35">
      <c r="A144" s="1" t="s">
        <v>171</v>
      </c>
      <c r="B144" s="1" t="s">
        <v>17</v>
      </c>
      <c r="C144" s="1" t="s">
        <v>50</v>
      </c>
      <c r="D144" s="1" t="s">
        <v>42</v>
      </c>
      <c r="E144" s="1" t="s">
        <v>24</v>
      </c>
      <c r="F144" s="1" t="s">
        <v>20</v>
      </c>
      <c r="G144" s="2">
        <v>45069</v>
      </c>
      <c r="H144" s="3">
        <v>129</v>
      </c>
      <c r="I144" s="3">
        <v>131.38</v>
      </c>
      <c r="J144" s="3">
        <v>298.99</v>
      </c>
      <c r="K144" t="str">
        <f>IF(B144="", VLOOKUP(C144, Mapping!A:B, 2, FALSE), B144)</f>
        <v>West</v>
      </c>
      <c r="L144" t="str">
        <f t="shared" si="6"/>
        <v>Electronics</v>
      </c>
      <c r="M144">
        <f>IF(H144="", AVERAGEIF(Dataset!D:D, D144, Dataset!H:H), H144)</f>
        <v>129</v>
      </c>
      <c r="N144">
        <f>IF(I144="", AVERAGEIF(Dataset!D:D, D144, Dataset!I:I), I144)</f>
        <v>131.38</v>
      </c>
      <c r="O144">
        <f t="shared" si="7"/>
        <v>16948.02</v>
      </c>
      <c r="P144">
        <f t="shared" si="8"/>
        <v>0</v>
      </c>
    </row>
    <row r="145" spans="1:16" ht="29.4" thickBot="1" x14ac:dyDescent="0.35">
      <c r="A145" s="1" t="s">
        <v>172</v>
      </c>
      <c r="B145" s="1" t="s">
        <v>17</v>
      </c>
      <c r="C145" s="1" t="s">
        <v>12</v>
      </c>
      <c r="D145" s="1" t="s">
        <v>13</v>
      </c>
      <c r="E145" s="1" t="s">
        <v>14</v>
      </c>
      <c r="F145" s="1" t="s">
        <v>28</v>
      </c>
      <c r="G145" s="2">
        <v>45070</v>
      </c>
      <c r="H145" s="3">
        <v>219</v>
      </c>
      <c r="I145" s="3">
        <v>332.51</v>
      </c>
      <c r="J145" s="3">
        <v>264.3</v>
      </c>
      <c r="K145" t="str">
        <f>IF(B145="", VLOOKUP(C145, Mapping!A:B, 2, FALSE), B145)</f>
        <v>West</v>
      </c>
      <c r="L145" t="str">
        <f t="shared" si="6"/>
        <v>Beverages</v>
      </c>
      <c r="M145">
        <f>IF(H145="", AVERAGEIF(Dataset!D:D, D145, Dataset!H:H), H145)</f>
        <v>219</v>
      </c>
      <c r="N145">
        <f>IF(I145="", AVERAGEIF(Dataset!D:D, D145, Dataset!I:I), I145)</f>
        <v>332.51</v>
      </c>
      <c r="O145">
        <f t="shared" si="7"/>
        <v>72819.69</v>
      </c>
      <c r="P145">
        <f t="shared" si="8"/>
        <v>14937.989999999996</v>
      </c>
    </row>
    <row r="146" spans="1:16" ht="29.4" thickBot="1" x14ac:dyDescent="0.35">
      <c r="A146" s="1" t="s">
        <v>173</v>
      </c>
      <c r="B146" s="1" t="s">
        <v>17</v>
      </c>
      <c r="C146" s="1" t="s">
        <v>12</v>
      </c>
      <c r="D146" s="1" t="s">
        <v>13</v>
      </c>
      <c r="E146" s="1" t="s">
        <v>24</v>
      </c>
      <c r="F146" s="1" t="s">
        <v>28</v>
      </c>
      <c r="G146" s="2">
        <v>45071</v>
      </c>
      <c r="H146" s="3">
        <v>315</v>
      </c>
      <c r="I146" s="3">
        <v>489.42</v>
      </c>
      <c r="J146" s="3">
        <v>321.25</v>
      </c>
      <c r="K146" t="str">
        <f>IF(B146="", VLOOKUP(C146, Mapping!A:B, 2, FALSE), B146)</f>
        <v>West</v>
      </c>
      <c r="L146" t="str">
        <f t="shared" si="6"/>
        <v>Beverages</v>
      </c>
      <c r="M146">
        <f>IF(H146="", AVERAGEIF(Dataset!D:D, D146, Dataset!H:H), H146)</f>
        <v>315</v>
      </c>
      <c r="N146">
        <f>IF(I146="", AVERAGEIF(Dataset!D:D, D146, Dataset!I:I), I146)</f>
        <v>489.42</v>
      </c>
      <c r="O146">
        <f t="shared" si="7"/>
        <v>154167.30000000002</v>
      </c>
      <c r="P146">
        <f t="shared" si="8"/>
        <v>52973.55</v>
      </c>
    </row>
    <row r="147" spans="1:16" ht="15" thickBot="1" x14ac:dyDescent="0.35">
      <c r="A147" s="1" t="s">
        <v>174</v>
      </c>
      <c r="B147" s="1" t="s">
        <v>11</v>
      </c>
      <c r="C147" s="1" t="s">
        <v>12</v>
      </c>
      <c r="D147" s="1" t="s">
        <v>27</v>
      </c>
      <c r="E147" s="1" t="s">
        <v>14</v>
      </c>
      <c r="F147" s="1" t="s">
        <v>28</v>
      </c>
      <c r="G147" s="2">
        <v>45072</v>
      </c>
      <c r="H147" s="3">
        <v>279</v>
      </c>
      <c r="I147" s="3">
        <v>190.28</v>
      </c>
      <c r="J147" s="3">
        <v>43.94</v>
      </c>
      <c r="K147" t="str">
        <f>IF(B147="", VLOOKUP(C147, Mapping!A:B, 2, FALSE), B147)</f>
        <v>East</v>
      </c>
      <c r="L147" t="str">
        <f t="shared" si="6"/>
        <v>Furniture</v>
      </c>
      <c r="M147">
        <f>IF(H147="", AVERAGEIF(Dataset!D:D, D147, Dataset!H:H), H147)</f>
        <v>279</v>
      </c>
      <c r="N147">
        <f>IF(I147="", AVERAGEIF(Dataset!D:D, D147, Dataset!I:I), I147)</f>
        <v>190.28</v>
      </c>
      <c r="O147">
        <f t="shared" si="7"/>
        <v>53088.12</v>
      </c>
      <c r="P147">
        <f t="shared" si="8"/>
        <v>40828.86</v>
      </c>
    </row>
    <row r="148" spans="1:16" ht="15" thickBot="1" x14ac:dyDescent="0.35">
      <c r="A148" s="1" t="s">
        <v>175</v>
      </c>
      <c r="B148" s="1" t="s">
        <v>11</v>
      </c>
      <c r="C148" s="1" t="s">
        <v>50</v>
      </c>
      <c r="D148" s="1" t="s">
        <v>23</v>
      </c>
      <c r="E148" s="1" t="s">
        <v>24</v>
      </c>
      <c r="F148" s="1" t="s">
        <v>20</v>
      </c>
      <c r="G148" s="2">
        <v>45073</v>
      </c>
      <c r="H148" s="3">
        <v>201</v>
      </c>
      <c r="I148" s="3">
        <v>13.67</v>
      </c>
      <c r="J148" s="3">
        <v>16.16</v>
      </c>
      <c r="K148" t="str">
        <f>IF(B148="", VLOOKUP(C148, Mapping!A:B, 2, FALSE), B148)</f>
        <v>East</v>
      </c>
      <c r="L148" t="str">
        <f t="shared" si="6"/>
        <v>Clothing</v>
      </c>
      <c r="M148">
        <f>IF(H148="", AVERAGEIF(Dataset!D:D, D148, Dataset!H:H), H148)</f>
        <v>201</v>
      </c>
      <c r="N148">
        <f>IF(I148="", AVERAGEIF(Dataset!D:D, D148, Dataset!I:I), I148)</f>
        <v>13.67</v>
      </c>
      <c r="O148">
        <f t="shared" si="7"/>
        <v>2747.67</v>
      </c>
      <c r="P148">
        <f t="shared" si="8"/>
        <v>0</v>
      </c>
    </row>
    <row r="149" spans="1:16" ht="15" thickBot="1" x14ac:dyDescent="0.35">
      <c r="A149" s="1" t="s">
        <v>176</v>
      </c>
      <c r="B149" s="1" t="s">
        <v>11</v>
      </c>
      <c r="C149" s="1" t="s">
        <v>12</v>
      </c>
      <c r="D149" s="1" t="s">
        <v>23</v>
      </c>
      <c r="E149" s="1" t="s">
        <v>14</v>
      </c>
      <c r="F149" s="1" t="s">
        <v>15</v>
      </c>
      <c r="G149" s="2">
        <v>45074</v>
      </c>
      <c r="H149" s="3">
        <v>184</v>
      </c>
      <c r="I149" s="3">
        <v>125.85</v>
      </c>
      <c r="J149" s="3">
        <v>204.41</v>
      </c>
      <c r="K149" t="str">
        <f>IF(B149="", VLOOKUP(C149, Mapping!A:B, 2, FALSE), B149)</f>
        <v>East</v>
      </c>
      <c r="L149" t="str">
        <f t="shared" si="6"/>
        <v>Clothing</v>
      </c>
      <c r="M149">
        <f>IF(H149="", AVERAGEIF(Dataset!D:D, D149, Dataset!H:H), H149)</f>
        <v>184</v>
      </c>
      <c r="N149">
        <f>IF(I149="", AVERAGEIF(Dataset!D:D, D149, Dataset!I:I), I149)</f>
        <v>125.85</v>
      </c>
      <c r="O149">
        <f t="shared" si="7"/>
        <v>23156.399999999998</v>
      </c>
      <c r="P149">
        <f t="shared" si="8"/>
        <v>0</v>
      </c>
    </row>
    <row r="150" spans="1:16" ht="15" thickBot="1" x14ac:dyDescent="0.35">
      <c r="A150" s="1" t="s">
        <v>177</v>
      </c>
      <c r="B150" s="1" t="s">
        <v>22</v>
      </c>
      <c r="C150" s="1" t="s">
        <v>50</v>
      </c>
      <c r="D150" s="1" t="s">
        <v>19</v>
      </c>
      <c r="E150" s="1" t="s">
        <v>24</v>
      </c>
      <c r="F150" s="1" t="s">
        <v>20</v>
      </c>
      <c r="G150" s="2">
        <v>45075</v>
      </c>
      <c r="H150" s="3">
        <v>294</v>
      </c>
      <c r="I150" s="3">
        <v>416.28</v>
      </c>
      <c r="J150" s="3">
        <v>156.26</v>
      </c>
      <c r="K150" t="str">
        <f>IF(B150="", VLOOKUP(C150, Mapping!A:B, 2, FALSE), B150)</f>
        <v>North</v>
      </c>
      <c r="L150" t="str">
        <f t="shared" si="6"/>
        <v>Food</v>
      </c>
      <c r="M150">
        <f>IF(H150="", AVERAGEIF(Dataset!D:D, D150, Dataset!H:H), H150)</f>
        <v>294</v>
      </c>
      <c r="N150">
        <f>IF(I150="", AVERAGEIF(Dataset!D:D, D150, Dataset!I:I), I150)</f>
        <v>416.28</v>
      </c>
      <c r="O150">
        <f t="shared" si="7"/>
        <v>122386.31999999999</v>
      </c>
      <c r="P150">
        <f t="shared" si="8"/>
        <v>76445.87999999999</v>
      </c>
    </row>
    <row r="151" spans="1:16" ht="15" thickBot="1" x14ac:dyDescent="0.35">
      <c r="A151" s="1" t="s">
        <v>178</v>
      </c>
      <c r="B151" s="1" t="s">
        <v>17</v>
      </c>
      <c r="C151" s="1" t="s">
        <v>12</v>
      </c>
      <c r="D151" s="1" t="s">
        <v>27</v>
      </c>
      <c r="E151" s="1" t="s">
        <v>14</v>
      </c>
      <c r="F151" s="1" t="s">
        <v>20</v>
      </c>
      <c r="G151" s="2">
        <v>45076</v>
      </c>
      <c r="H151" s="3">
        <v>213</v>
      </c>
      <c r="I151" s="3">
        <v>432.98</v>
      </c>
      <c r="J151" s="3">
        <v>185.85</v>
      </c>
      <c r="K151" t="str">
        <f>IF(B151="", VLOOKUP(C151, Mapping!A:B, 2, FALSE), B151)</f>
        <v>West</v>
      </c>
      <c r="L151" t="str">
        <f t="shared" si="6"/>
        <v>Furniture</v>
      </c>
      <c r="M151">
        <f>IF(H151="", AVERAGEIF(Dataset!D:D, D151, Dataset!H:H), H151)</f>
        <v>213</v>
      </c>
      <c r="N151">
        <f>IF(I151="", AVERAGEIF(Dataset!D:D, D151, Dataset!I:I), I151)</f>
        <v>432.98</v>
      </c>
      <c r="O151">
        <f t="shared" si="7"/>
        <v>92224.74</v>
      </c>
      <c r="P151">
        <f t="shared" si="8"/>
        <v>52638.69</v>
      </c>
    </row>
    <row r="152" spans="1:16" ht="15" thickBot="1" x14ac:dyDescent="0.35">
      <c r="A152" s="1" t="s">
        <v>179</v>
      </c>
      <c r="B152" s="1" t="s">
        <v>11</v>
      </c>
      <c r="C152" s="1" t="s">
        <v>31</v>
      </c>
      <c r="D152" s="1" t="s">
        <v>27</v>
      </c>
      <c r="E152" s="1" t="s">
        <v>24</v>
      </c>
      <c r="F152" s="1" t="s">
        <v>15</v>
      </c>
      <c r="G152" s="2">
        <v>45077</v>
      </c>
      <c r="H152" s="3">
        <v>173</v>
      </c>
      <c r="I152" s="3">
        <v>385.42</v>
      </c>
      <c r="J152" s="3">
        <v>396.65</v>
      </c>
      <c r="K152" t="str">
        <f>IF(B152="", VLOOKUP(C152, Mapping!A:B, 2, FALSE), B152)</f>
        <v>East</v>
      </c>
      <c r="L152" t="str">
        <f t="shared" si="6"/>
        <v>Furniture</v>
      </c>
      <c r="M152">
        <f>IF(H152="", AVERAGEIF(Dataset!D:D, D152, Dataset!H:H), H152)</f>
        <v>173</v>
      </c>
      <c r="N152">
        <f>IF(I152="", AVERAGEIF(Dataset!D:D, D152, Dataset!I:I), I152)</f>
        <v>385.42</v>
      </c>
      <c r="O152">
        <f t="shared" si="7"/>
        <v>66677.66</v>
      </c>
      <c r="P152">
        <f t="shared" si="8"/>
        <v>0</v>
      </c>
    </row>
    <row r="153" spans="1:16" ht="15" thickBot="1" x14ac:dyDescent="0.35">
      <c r="A153" s="1" t="s">
        <v>180</v>
      </c>
      <c r="B153" s="1" t="s">
        <v>11</v>
      </c>
      <c r="C153" s="1" t="s">
        <v>12</v>
      </c>
      <c r="D153" s="1" t="s">
        <v>27</v>
      </c>
      <c r="E153" s="1" t="s">
        <v>14</v>
      </c>
      <c r="F153" s="1" t="s">
        <v>15</v>
      </c>
      <c r="G153" s="2">
        <v>45078</v>
      </c>
      <c r="H153" s="3">
        <v>260</v>
      </c>
      <c r="I153" s="3">
        <v>60.99</v>
      </c>
      <c r="J153" s="3">
        <v>388.36</v>
      </c>
      <c r="K153" t="str">
        <f>IF(B153="", VLOOKUP(C153, Mapping!A:B, 2, FALSE), B153)</f>
        <v>East</v>
      </c>
      <c r="L153" t="str">
        <f t="shared" si="6"/>
        <v>Furniture</v>
      </c>
      <c r="M153">
        <f>IF(H153="", AVERAGEIF(Dataset!D:D, D153, Dataset!H:H), H153)</f>
        <v>260</v>
      </c>
      <c r="N153">
        <f>IF(I153="", AVERAGEIF(Dataset!D:D, D153, Dataset!I:I), I153)</f>
        <v>60.99</v>
      </c>
      <c r="O153">
        <f t="shared" si="7"/>
        <v>15857.4</v>
      </c>
      <c r="P153">
        <f t="shared" si="8"/>
        <v>0</v>
      </c>
    </row>
    <row r="154" spans="1:16" ht="15" thickBot="1" x14ac:dyDescent="0.35">
      <c r="A154" s="1" t="s">
        <v>181</v>
      </c>
      <c r="B154" s="1" t="s">
        <v>22</v>
      </c>
      <c r="C154" s="1" t="s">
        <v>50</v>
      </c>
      <c r="D154" s="1" t="s">
        <v>27</v>
      </c>
      <c r="E154" s="1" t="s">
        <v>24</v>
      </c>
      <c r="F154" s="1" t="s">
        <v>15</v>
      </c>
      <c r="G154" s="2">
        <v>45079</v>
      </c>
      <c r="H154" s="3">
        <v>236</v>
      </c>
      <c r="I154" s="3">
        <v>398.78</v>
      </c>
      <c r="J154" s="3">
        <v>377.04</v>
      </c>
      <c r="K154" t="str">
        <f>IF(B154="", VLOOKUP(C154, Mapping!A:B, 2, FALSE), B154)</f>
        <v>North</v>
      </c>
      <c r="L154" t="str">
        <f t="shared" si="6"/>
        <v>Furniture</v>
      </c>
      <c r="M154">
        <f>IF(H154="", AVERAGEIF(Dataset!D:D, D154, Dataset!H:H), H154)</f>
        <v>236</v>
      </c>
      <c r="N154">
        <f>IF(I154="", AVERAGEIF(Dataset!D:D, D154, Dataset!I:I), I154)</f>
        <v>398.78</v>
      </c>
      <c r="O154">
        <f t="shared" si="7"/>
        <v>94112.079999999987</v>
      </c>
      <c r="P154">
        <f t="shared" si="8"/>
        <v>5130.6399999999885</v>
      </c>
    </row>
    <row r="155" spans="1:16" ht="15" thickBot="1" x14ac:dyDescent="0.35">
      <c r="A155" s="1" t="s">
        <v>182</v>
      </c>
      <c r="B155" s="1" t="s">
        <v>11</v>
      </c>
      <c r="C155" s="1" t="s">
        <v>26</v>
      </c>
      <c r="D155" s="1" t="s">
        <v>23</v>
      </c>
      <c r="E155" s="1" t="s">
        <v>14</v>
      </c>
      <c r="F155" s="1" t="s">
        <v>28</v>
      </c>
      <c r="G155" s="2">
        <v>45080</v>
      </c>
      <c r="H155" s="3">
        <v>445</v>
      </c>
      <c r="I155" s="3">
        <v>459.75</v>
      </c>
      <c r="J155" s="3">
        <v>313.97000000000003</v>
      </c>
      <c r="K155" t="str">
        <f>IF(B155="", VLOOKUP(C155, Mapping!A:B, 2, FALSE), B155)</f>
        <v>East</v>
      </c>
      <c r="L155" t="str">
        <f t="shared" si="6"/>
        <v>Clothing</v>
      </c>
      <c r="M155">
        <f>IF(H155="", AVERAGEIF(Dataset!D:D, D155, Dataset!H:H), H155)</f>
        <v>445</v>
      </c>
      <c r="N155">
        <f>IF(I155="", AVERAGEIF(Dataset!D:D, D155, Dataset!I:I), I155)</f>
        <v>459.75</v>
      </c>
      <c r="O155">
        <f t="shared" si="7"/>
        <v>204588.75</v>
      </c>
      <c r="P155">
        <f t="shared" si="8"/>
        <v>64872.099999999991</v>
      </c>
    </row>
    <row r="156" spans="1:16" ht="15" thickBot="1" x14ac:dyDescent="0.35">
      <c r="A156" s="1" t="s">
        <v>183</v>
      </c>
      <c r="B156" s="1" t="s">
        <v>22</v>
      </c>
      <c r="C156" s="1" t="s">
        <v>12</v>
      </c>
      <c r="D156" s="1" t="s">
        <v>23</v>
      </c>
      <c r="E156" s="1" t="s">
        <v>24</v>
      </c>
      <c r="F156" s="1" t="s">
        <v>15</v>
      </c>
      <c r="G156" s="2">
        <v>45081</v>
      </c>
      <c r="H156" s="3">
        <v>390</v>
      </c>
      <c r="I156" s="3">
        <v>302.3</v>
      </c>
      <c r="J156" s="3">
        <v>143.22999999999999</v>
      </c>
      <c r="K156" t="str">
        <f>IF(B156="", VLOOKUP(C156, Mapping!A:B, 2, FALSE), B156)</f>
        <v>North</v>
      </c>
      <c r="L156" t="str">
        <f t="shared" si="6"/>
        <v>Clothing</v>
      </c>
      <c r="M156">
        <f>IF(H156="", AVERAGEIF(Dataset!D:D, D156, Dataset!H:H), H156)</f>
        <v>390</v>
      </c>
      <c r="N156">
        <f>IF(I156="", AVERAGEIF(Dataset!D:D, D156, Dataset!I:I), I156)</f>
        <v>302.3</v>
      </c>
      <c r="O156">
        <f t="shared" si="7"/>
        <v>117897</v>
      </c>
      <c r="P156">
        <f t="shared" si="8"/>
        <v>62037.30000000001</v>
      </c>
    </row>
    <row r="157" spans="1:16" ht="15" thickBot="1" x14ac:dyDescent="0.35">
      <c r="A157" s="1" t="s">
        <v>184</v>
      </c>
      <c r="B157" s="1" t="s">
        <v>48</v>
      </c>
      <c r="C157" s="1" t="s">
        <v>26</v>
      </c>
      <c r="D157" s="1" t="s">
        <v>27</v>
      </c>
      <c r="E157" s="1" t="s">
        <v>14</v>
      </c>
      <c r="F157" s="1" t="s">
        <v>20</v>
      </c>
      <c r="G157" s="2">
        <v>45082</v>
      </c>
      <c r="H157" s="3">
        <v>469</v>
      </c>
      <c r="I157" s="3">
        <v>470.73</v>
      </c>
      <c r="J157" s="3">
        <v>166.03</v>
      </c>
      <c r="K157" t="str">
        <f>IF(B157="", VLOOKUP(C157, Mapping!A:B, 2, FALSE), B157)</f>
        <v>South</v>
      </c>
      <c r="L157" t="str">
        <f t="shared" si="6"/>
        <v>Furniture</v>
      </c>
      <c r="M157">
        <f>IF(H157="", AVERAGEIF(Dataset!D:D, D157, Dataset!H:H), H157)</f>
        <v>469</v>
      </c>
      <c r="N157">
        <f>IF(I157="", AVERAGEIF(Dataset!D:D, D157, Dataset!I:I), I157)</f>
        <v>470.73</v>
      </c>
      <c r="O157">
        <f t="shared" si="7"/>
        <v>220772.37</v>
      </c>
      <c r="P157">
        <f t="shared" si="8"/>
        <v>142904.30000000002</v>
      </c>
    </row>
    <row r="158" spans="1:16" ht="15" thickBot="1" x14ac:dyDescent="0.35">
      <c r="A158" s="1" t="s">
        <v>185</v>
      </c>
      <c r="B158" s="1" t="s">
        <v>11</v>
      </c>
      <c r="C158" s="1" t="s">
        <v>31</v>
      </c>
      <c r="D158" s="1" t="s">
        <v>19</v>
      </c>
      <c r="E158" s="1" t="s">
        <v>14</v>
      </c>
      <c r="F158" s="1" t="s">
        <v>15</v>
      </c>
      <c r="G158" s="2">
        <v>45083</v>
      </c>
      <c r="H158" s="3">
        <v>16</v>
      </c>
      <c r="I158" s="1"/>
      <c r="J158" s="3">
        <v>220.75</v>
      </c>
      <c r="K158" t="str">
        <f>IF(B158="", VLOOKUP(C158, Mapping!A:B, 2, FALSE), B158)</f>
        <v>East</v>
      </c>
      <c r="L158" t="str">
        <f t="shared" si="6"/>
        <v>Food</v>
      </c>
      <c r="M158">
        <f>IF(H158="", AVERAGEIF(Dataset!D:D, D158, Dataset!H:H), H158)</f>
        <v>16</v>
      </c>
      <c r="N158">
        <f>IF(I158="", AVERAGEIF(Dataset!D:D, D158, Dataset!I:I), I158)</f>
        <v>259.99928571428569</v>
      </c>
      <c r="O158" t="str">
        <f t="shared" si="7"/>
        <v/>
      </c>
      <c r="P158">
        <f t="shared" si="8"/>
        <v>0</v>
      </c>
    </row>
    <row r="159" spans="1:16" ht="29.4" thickBot="1" x14ac:dyDescent="0.35">
      <c r="A159" s="1" t="s">
        <v>186</v>
      </c>
      <c r="B159" s="1" t="s">
        <v>48</v>
      </c>
      <c r="C159" s="1" t="s">
        <v>18</v>
      </c>
      <c r="D159" s="1" t="s">
        <v>42</v>
      </c>
      <c r="E159" s="1" t="s">
        <v>24</v>
      </c>
      <c r="F159" s="1" t="s">
        <v>20</v>
      </c>
      <c r="G159" s="2">
        <v>45084</v>
      </c>
      <c r="H159" s="3">
        <v>38</v>
      </c>
      <c r="I159" s="3">
        <v>335.15</v>
      </c>
      <c r="J159" s="3">
        <v>332.55</v>
      </c>
      <c r="K159" t="str">
        <f>IF(B159="", VLOOKUP(C159, Mapping!A:B, 2, FALSE), B159)</f>
        <v>South</v>
      </c>
      <c r="L159" t="str">
        <f t="shared" si="6"/>
        <v>Electronics</v>
      </c>
      <c r="M159">
        <f>IF(H159="", AVERAGEIF(Dataset!D:D, D159, Dataset!H:H), H159)</f>
        <v>38</v>
      </c>
      <c r="N159">
        <f>IF(I159="", AVERAGEIF(Dataset!D:D, D159, Dataset!I:I), I159)</f>
        <v>335.15</v>
      </c>
      <c r="O159">
        <f t="shared" si="7"/>
        <v>12735.699999999999</v>
      </c>
      <c r="P159">
        <f t="shared" si="8"/>
        <v>98.799999999998704</v>
      </c>
    </row>
    <row r="160" spans="1:16" ht="15" thickBot="1" x14ac:dyDescent="0.35">
      <c r="A160" s="1" t="s">
        <v>187</v>
      </c>
      <c r="B160" s="1" t="s">
        <v>22</v>
      </c>
      <c r="C160" s="1" t="s">
        <v>31</v>
      </c>
      <c r="D160" s="1"/>
      <c r="E160" s="1" t="s">
        <v>24</v>
      </c>
      <c r="F160" s="1" t="s">
        <v>28</v>
      </c>
      <c r="G160" s="2">
        <v>45085</v>
      </c>
      <c r="H160" s="3">
        <v>404</v>
      </c>
      <c r="I160" s="3">
        <v>290.70999999999998</v>
      </c>
      <c r="J160" s="3">
        <v>29.35</v>
      </c>
      <c r="K160" t="str">
        <f>IF(B160="", VLOOKUP(C160, Mapping!A:B, 2, FALSE), B160)</f>
        <v>North</v>
      </c>
      <c r="L160" t="str">
        <f t="shared" si="6"/>
        <v>Electronics</v>
      </c>
      <c r="M160">
        <f>IF(H160="", AVERAGEIF(Dataset!D:D, D160, Dataset!H:H), H160)</f>
        <v>404</v>
      </c>
      <c r="N160">
        <f>IF(I160="", AVERAGEIF(Dataset!D:D, D160, Dataset!I:I), I160)</f>
        <v>290.70999999999998</v>
      </c>
      <c r="O160">
        <f t="shared" si="7"/>
        <v>117446.84</v>
      </c>
      <c r="P160">
        <f t="shared" si="8"/>
        <v>105589.43999999999</v>
      </c>
    </row>
    <row r="161" spans="1:16" ht="15" thickBot="1" x14ac:dyDescent="0.35">
      <c r="A161" s="1" t="s">
        <v>188</v>
      </c>
      <c r="B161" s="1" t="s">
        <v>17</v>
      </c>
      <c r="C161" s="1" t="s">
        <v>12</v>
      </c>
      <c r="D161" s="1" t="s">
        <v>19</v>
      </c>
      <c r="E161" s="1" t="s">
        <v>14</v>
      </c>
      <c r="F161" s="1" t="s">
        <v>20</v>
      </c>
      <c r="G161" s="2">
        <v>45086</v>
      </c>
      <c r="H161" s="3">
        <v>42</v>
      </c>
      <c r="I161" s="3">
        <v>177.54</v>
      </c>
      <c r="J161" s="3">
        <v>170.87</v>
      </c>
      <c r="K161" t="str">
        <f>IF(B161="", VLOOKUP(C161, Mapping!A:B, 2, FALSE), B161)</f>
        <v>West</v>
      </c>
      <c r="L161" t="str">
        <f t="shared" si="6"/>
        <v>Food</v>
      </c>
      <c r="M161">
        <f>IF(H161="", AVERAGEIF(Dataset!D:D, D161, Dataset!H:H), H161)</f>
        <v>42</v>
      </c>
      <c r="N161">
        <f>IF(I161="", AVERAGEIF(Dataset!D:D, D161, Dataset!I:I), I161)</f>
        <v>177.54</v>
      </c>
      <c r="O161">
        <f t="shared" si="7"/>
        <v>7456.6799999999994</v>
      </c>
      <c r="P161">
        <f t="shared" si="8"/>
        <v>280.13999999999947</v>
      </c>
    </row>
    <row r="162" spans="1:16" ht="15" thickBot="1" x14ac:dyDescent="0.35">
      <c r="A162" s="1" t="s">
        <v>189</v>
      </c>
      <c r="B162" s="1" t="s">
        <v>11</v>
      </c>
      <c r="C162" s="1" t="s">
        <v>26</v>
      </c>
      <c r="D162" s="1" t="s">
        <v>27</v>
      </c>
      <c r="E162" s="1" t="s">
        <v>24</v>
      </c>
      <c r="F162" s="1" t="s">
        <v>20</v>
      </c>
      <c r="G162" s="2">
        <v>45087</v>
      </c>
      <c r="H162" s="3">
        <v>143</v>
      </c>
      <c r="I162" s="3">
        <v>83.85</v>
      </c>
      <c r="J162" s="3">
        <v>34.880000000000003</v>
      </c>
      <c r="K162" t="str">
        <f>IF(B162="", VLOOKUP(C162, Mapping!A:B, 2, FALSE), B162)</f>
        <v>East</v>
      </c>
      <c r="L162" t="str">
        <f t="shared" si="6"/>
        <v>Furniture</v>
      </c>
      <c r="M162">
        <f>IF(H162="", AVERAGEIF(Dataset!D:D, D162, Dataset!H:H), H162)</f>
        <v>143</v>
      </c>
      <c r="N162">
        <f>IF(I162="", AVERAGEIF(Dataset!D:D, D162, Dataset!I:I), I162)</f>
        <v>83.85</v>
      </c>
      <c r="O162">
        <f t="shared" si="7"/>
        <v>11990.55</v>
      </c>
      <c r="P162">
        <f t="shared" si="8"/>
        <v>7002.7099999999991</v>
      </c>
    </row>
    <row r="163" spans="1:16" ht="15" thickBot="1" x14ac:dyDescent="0.35">
      <c r="A163" s="1" t="s">
        <v>190</v>
      </c>
      <c r="B163" s="1" t="s">
        <v>22</v>
      </c>
      <c r="C163" s="1" t="s">
        <v>26</v>
      </c>
      <c r="D163" s="1" t="s">
        <v>23</v>
      </c>
      <c r="E163" s="1" t="s">
        <v>14</v>
      </c>
      <c r="F163" s="1" t="s">
        <v>15</v>
      </c>
      <c r="G163" s="2">
        <v>45088</v>
      </c>
      <c r="H163" s="3">
        <v>376</v>
      </c>
      <c r="I163" s="3">
        <v>304.45</v>
      </c>
      <c r="J163" s="3">
        <v>206.83</v>
      </c>
      <c r="K163" t="str">
        <f>IF(B163="", VLOOKUP(C163, Mapping!A:B, 2, FALSE), B163)</f>
        <v>North</v>
      </c>
      <c r="L163" t="str">
        <f t="shared" si="6"/>
        <v>Clothing</v>
      </c>
      <c r="M163">
        <f>IF(H163="", AVERAGEIF(Dataset!D:D, D163, Dataset!H:H), H163)</f>
        <v>376</v>
      </c>
      <c r="N163">
        <f>IF(I163="", AVERAGEIF(Dataset!D:D, D163, Dataset!I:I), I163)</f>
        <v>304.45</v>
      </c>
      <c r="O163">
        <f t="shared" si="7"/>
        <v>114473.2</v>
      </c>
      <c r="P163">
        <f t="shared" si="8"/>
        <v>36705.119999999988</v>
      </c>
    </row>
    <row r="164" spans="1:16" ht="29.4" thickBot="1" x14ac:dyDescent="0.35">
      <c r="A164" s="1" t="s">
        <v>191</v>
      </c>
      <c r="B164" s="1" t="s">
        <v>17</v>
      </c>
      <c r="C164" s="1" t="s">
        <v>50</v>
      </c>
      <c r="D164" s="1" t="s">
        <v>42</v>
      </c>
      <c r="E164" s="1" t="s">
        <v>14</v>
      </c>
      <c r="F164" s="1" t="s">
        <v>15</v>
      </c>
      <c r="G164" s="2">
        <v>45089</v>
      </c>
      <c r="H164" s="3">
        <v>88</v>
      </c>
      <c r="I164" s="3">
        <v>162.47</v>
      </c>
      <c r="J164" s="3">
        <v>359.76</v>
      </c>
      <c r="K164" t="str">
        <f>IF(B164="", VLOOKUP(C164, Mapping!A:B, 2, FALSE), B164)</f>
        <v>West</v>
      </c>
      <c r="L164" t="str">
        <f t="shared" si="6"/>
        <v>Electronics</v>
      </c>
      <c r="M164">
        <f>IF(H164="", AVERAGEIF(Dataset!D:D, D164, Dataset!H:H), H164)</f>
        <v>88</v>
      </c>
      <c r="N164">
        <f>IF(I164="", AVERAGEIF(Dataset!D:D, D164, Dataset!I:I), I164)</f>
        <v>162.47</v>
      </c>
      <c r="O164">
        <f t="shared" si="7"/>
        <v>14297.36</v>
      </c>
      <c r="P164">
        <f t="shared" si="8"/>
        <v>0</v>
      </c>
    </row>
    <row r="165" spans="1:16" ht="29.4" thickBot="1" x14ac:dyDescent="0.35">
      <c r="A165" s="1" t="s">
        <v>192</v>
      </c>
      <c r="B165" s="1" t="s">
        <v>17</v>
      </c>
      <c r="C165" s="1" t="s">
        <v>26</v>
      </c>
      <c r="D165" s="1" t="s">
        <v>13</v>
      </c>
      <c r="E165" s="1" t="s">
        <v>14</v>
      </c>
      <c r="F165" s="1" t="s">
        <v>20</v>
      </c>
      <c r="G165" s="2">
        <v>45090</v>
      </c>
      <c r="H165" s="3">
        <v>425</v>
      </c>
      <c r="I165" s="3">
        <v>433.89</v>
      </c>
      <c r="J165" s="3">
        <v>313.43</v>
      </c>
      <c r="K165" t="str">
        <f>IF(B165="", VLOOKUP(C165, Mapping!A:B, 2, FALSE), B165)</f>
        <v>West</v>
      </c>
      <c r="L165" t="str">
        <f t="shared" si="6"/>
        <v>Beverages</v>
      </c>
      <c r="M165">
        <f>IF(H165="", AVERAGEIF(Dataset!D:D, D165, Dataset!H:H), H165)</f>
        <v>425</v>
      </c>
      <c r="N165">
        <f>IF(I165="", AVERAGEIF(Dataset!D:D, D165, Dataset!I:I), I165)</f>
        <v>433.89</v>
      </c>
      <c r="O165">
        <f t="shared" si="7"/>
        <v>184403.25</v>
      </c>
      <c r="P165">
        <f t="shared" si="8"/>
        <v>51195.499999999993</v>
      </c>
    </row>
    <row r="166" spans="1:16" ht="29.4" thickBot="1" x14ac:dyDescent="0.35">
      <c r="A166" s="1" t="s">
        <v>193</v>
      </c>
      <c r="B166" s="1" t="s">
        <v>48</v>
      </c>
      <c r="C166" s="1" t="s">
        <v>50</v>
      </c>
      <c r="D166" s="1" t="s">
        <v>13</v>
      </c>
      <c r="E166" s="1" t="s">
        <v>24</v>
      </c>
      <c r="F166" s="1" t="s">
        <v>15</v>
      </c>
      <c r="G166" s="2">
        <v>45091</v>
      </c>
      <c r="H166" s="3">
        <v>444</v>
      </c>
      <c r="I166" s="3">
        <v>496.7</v>
      </c>
      <c r="J166" s="3">
        <v>92.68</v>
      </c>
      <c r="K166" t="str">
        <f>IF(B166="", VLOOKUP(C166, Mapping!A:B, 2, FALSE), B166)</f>
        <v>South</v>
      </c>
      <c r="L166" t="str">
        <f t="shared" si="6"/>
        <v>Beverages</v>
      </c>
      <c r="M166">
        <f>IF(H166="", AVERAGEIF(Dataset!D:D, D166, Dataset!H:H), H166)</f>
        <v>444</v>
      </c>
      <c r="N166">
        <f>IF(I166="", AVERAGEIF(Dataset!D:D, D166, Dataset!I:I), I166)</f>
        <v>496.7</v>
      </c>
      <c r="O166">
        <f t="shared" si="7"/>
        <v>220534.8</v>
      </c>
      <c r="P166">
        <f t="shared" si="8"/>
        <v>179384.88</v>
      </c>
    </row>
    <row r="167" spans="1:16" ht="15" thickBot="1" x14ac:dyDescent="0.35">
      <c r="A167" s="1" t="s">
        <v>194</v>
      </c>
      <c r="B167" s="1" t="s">
        <v>22</v>
      </c>
      <c r="C167" s="1" t="s">
        <v>18</v>
      </c>
      <c r="D167" s="1" t="s">
        <v>19</v>
      </c>
      <c r="E167" s="1" t="s">
        <v>14</v>
      </c>
      <c r="F167" s="1" t="s">
        <v>28</v>
      </c>
      <c r="G167" s="2">
        <v>45092</v>
      </c>
      <c r="H167" s="3">
        <v>468</v>
      </c>
      <c r="I167" s="3">
        <v>377.45</v>
      </c>
      <c r="J167" s="3">
        <v>390.44</v>
      </c>
      <c r="K167" t="str">
        <f>IF(B167="", VLOOKUP(C167, Mapping!A:B, 2, FALSE), B167)</f>
        <v>North</v>
      </c>
      <c r="L167" t="str">
        <f t="shared" si="6"/>
        <v>Food</v>
      </c>
      <c r="M167">
        <f>IF(H167="", AVERAGEIF(Dataset!D:D, D167, Dataset!H:H), H167)</f>
        <v>468</v>
      </c>
      <c r="N167">
        <f>IF(I167="", AVERAGEIF(Dataset!D:D, D167, Dataset!I:I), I167)</f>
        <v>377.45</v>
      </c>
      <c r="O167">
        <f t="shared" si="7"/>
        <v>176646.6</v>
      </c>
      <c r="P167">
        <f t="shared" si="8"/>
        <v>0</v>
      </c>
    </row>
    <row r="168" spans="1:16" ht="15" thickBot="1" x14ac:dyDescent="0.35">
      <c r="A168" s="1" t="s">
        <v>195</v>
      </c>
      <c r="B168" s="1" t="s">
        <v>17</v>
      </c>
      <c r="C168" s="1" t="s">
        <v>12</v>
      </c>
      <c r="D168" s="1" t="s">
        <v>27</v>
      </c>
      <c r="E168" s="1" t="s">
        <v>14</v>
      </c>
      <c r="F168" s="1" t="s">
        <v>28</v>
      </c>
      <c r="G168" s="2">
        <v>45093</v>
      </c>
      <c r="H168" s="3">
        <v>67</v>
      </c>
      <c r="I168" s="3">
        <v>49.79</v>
      </c>
      <c r="J168" s="3">
        <v>267.61</v>
      </c>
      <c r="K168" t="str">
        <f>IF(B168="", VLOOKUP(C168, Mapping!A:B, 2, FALSE), B168)</f>
        <v>West</v>
      </c>
      <c r="L168" t="str">
        <f t="shared" si="6"/>
        <v>Furniture</v>
      </c>
      <c r="M168">
        <f>IF(H168="", AVERAGEIF(Dataset!D:D, D168, Dataset!H:H), H168)</f>
        <v>67</v>
      </c>
      <c r="N168">
        <f>IF(I168="", AVERAGEIF(Dataset!D:D, D168, Dataset!I:I), I168)</f>
        <v>49.79</v>
      </c>
      <c r="O168">
        <f t="shared" si="7"/>
        <v>3335.93</v>
      </c>
      <c r="P168">
        <f t="shared" si="8"/>
        <v>0</v>
      </c>
    </row>
    <row r="169" spans="1:16" ht="29.4" thickBot="1" x14ac:dyDescent="0.35">
      <c r="A169" s="1" t="s">
        <v>196</v>
      </c>
      <c r="B169" s="1" t="s">
        <v>11</v>
      </c>
      <c r="C169" s="1" t="s">
        <v>50</v>
      </c>
      <c r="D169" s="1" t="s">
        <v>42</v>
      </c>
      <c r="E169" s="1" t="s">
        <v>24</v>
      </c>
      <c r="F169" s="1" t="s">
        <v>15</v>
      </c>
      <c r="G169" s="2">
        <v>45094</v>
      </c>
      <c r="H169" s="3">
        <v>480</v>
      </c>
      <c r="I169" s="3">
        <v>147.9</v>
      </c>
      <c r="J169" s="3">
        <v>6.15</v>
      </c>
      <c r="K169" t="str">
        <f>IF(B169="", VLOOKUP(C169, Mapping!A:B, 2, FALSE), B169)</f>
        <v>East</v>
      </c>
      <c r="L169" t="str">
        <f t="shared" si="6"/>
        <v>Electronics</v>
      </c>
      <c r="M169">
        <f>IF(H169="", AVERAGEIF(Dataset!D:D, D169, Dataset!H:H), H169)</f>
        <v>480</v>
      </c>
      <c r="N169">
        <f>IF(I169="", AVERAGEIF(Dataset!D:D, D169, Dataset!I:I), I169)</f>
        <v>147.9</v>
      </c>
      <c r="O169">
        <f t="shared" si="7"/>
        <v>70992</v>
      </c>
      <c r="P169">
        <f t="shared" si="8"/>
        <v>68040</v>
      </c>
    </row>
    <row r="170" spans="1:16" ht="15" thickBot="1" x14ac:dyDescent="0.35">
      <c r="A170" s="1" t="s">
        <v>197</v>
      </c>
      <c r="B170" s="1" t="s">
        <v>11</v>
      </c>
      <c r="C170" s="1" t="s">
        <v>18</v>
      </c>
      <c r="D170" s="1" t="s">
        <v>27</v>
      </c>
      <c r="E170" s="1" t="s">
        <v>24</v>
      </c>
      <c r="F170" s="1" t="s">
        <v>28</v>
      </c>
      <c r="G170" s="2">
        <v>45095</v>
      </c>
      <c r="H170" s="3">
        <v>35</v>
      </c>
      <c r="I170" s="3">
        <v>59.01</v>
      </c>
      <c r="J170" s="3">
        <v>103.65</v>
      </c>
      <c r="K170" t="str">
        <f>IF(B170="", VLOOKUP(C170, Mapping!A:B, 2, FALSE), B170)</f>
        <v>East</v>
      </c>
      <c r="L170" t="str">
        <f t="shared" si="6"/>
        <v>Furniture</v>
      </c>
      <c r="M170">
        <f>IF(H170="", AVERAGEIF(Dataset!D:D, D170, Dataset!H:H), H170)</f>
        <v>35</v>
      </c>
      <c r="N170">
        <f>IF(I170="", AVERAGEIF(Dataset!D:D, D170, Dataset!I:I), I170)</f>
        <v>59.01</v>
      </c>
      <c r="O170">
        <f t="shared" si="7"/>
        <v>2065.35</v>
      </c>
      <c r="P170">
        <f t="shared" si="8"/>
        <v>0</v>
      </c>
    </row>
    <row r="171" spans="1:16" ht="29.4" thickBot="1" x14ac:dyDescent="0.35">
      <c r="A171" s="1" t="s">
        <v>198</v>
      </c>
      <c r="B171" s="1" t="s">
        <v>48</v>
      </c>
      <c r="C171" s="1" t="s">
        <v>26</v>
      </c>
      <c r="D171" s="1" t="s">
        <v>42</v>
      </c>
      <c r="E171" s="1" t="s">
        <v>24</v>
      </c>
      <c r="F171" s="1" t="s">
        <v>15</v>
      </c>
      <c r="G171" s="2">
        <v>45096</v>
      </c>
      <c r="H171" s="3">
        <v>491</v>
      </c>
      <c r="I171" s="3">
        <v>327</v>
      </c>
      <c r="J171" s="3">
        <v>105.76</v>
      </c>
      <c r="K171" t="str">
        <f>IF(B171="", VLOOKUP(C171, Mapping!A:B, 2, FALSE), B171)</f>
        <v>South</v>
      </c>
      <c r="L171" t="str">
        <f t="shared" si="6"/>
        <v>Electronics</v>
      </c>
      <c r="M171">
        <f>IF(H171="", AVERAGEIF(Dataset!D:D, D171, Dataset!H:H), H171)</f>
        <v>491</v>
      </c>
      <c r="N171">
        <f>IF(I171="", AVERAGEIF(Dataset!D:D, D171, Dataset!I:I), I171)</f>
        <v>327</v>
      </c>
      <c r="O171">
        <f t="shared" si="7"/>
        <v>160557</v>
      </c>
      <c r="P171">
        <f t="shared" si="8"/>
        <v>108628.84000000001</v>
      </c>
    </row>
    <row r="172" spans="1:16" ht="15" thickBot="1" x14ac:dyDescent="0.35">
      <c r="A172" s="1" t="s">
        <v>199</v>
      </c>
      <c r="B172" s="1" t="s">
        <v>17</v>
      </c>
      <c r="C172" s="1" t="s">
        <v>26</v>
      </c>
      <c r="D172" s="1" t="s">
        <v>19</v>
      </c>
      <c r="E172" s="1" t="s">
        <v>24</v>
      </c>
      <c r="F172" s="1" t="s">
        <v>20</v>
      </c>
      <c r="G172" s="2">
        <v>45097</v>
      </c>
      <c r="H172" s="3">
        <v>439</v>
      </c>
      <c r="I172" s="3">
        <v>383.77</v>
      </c>
      <c r="J172" s="3">
        <v>29.56</v>
      </c>
      <c r="K172" t="str">
        <f>IF(B172="", VLOOKUP(C172, Mapping!A:B, 2, FALSE), B172)</f>
        <v>West</v>
      </c>
      <c r="L172" t="str">
        <f t="shared" si="6"/>
        <v>Food</v>
      </c>
      <c r="M172">
        <f>IF(H172="", AVERAGEIF(Dataset!D:D, D172, Dataset!H:H), H172)</f>
        <v>439</v>
      </c>
      <c r="N172">
        <f>IF(I172="", AVERAGEIF(Dataset!D:D, D172, Dataset!I:I), I172)</f>
        <v>383.77</v>
      </c>
      <c r="O172">
        <f t="shared" si="7"/>
        <v>168475.03</v>
      </c>
      <c r="P172">
        <f t="shared" si="8"/>
        <v>155498.19</v>
      </c>
    </row>
    <row r="173" spans="1:16" ht="15" thickBot="1" x14ac:dyDescent="0.35">
      <c r="A173" s="1" t="s">
        <v>200</v>
      </c>
      <c r="B173" s="1" t="s">
        <v>22</v>
      </c>
      <c r="C173" s="1" t="s">
        <v>18</v>
      </c>
      <c r="D173" s="1" t="s">
        <v>19</v>
      </c>
      <c r="E173" s="1" t="s">
        <v>14</v>
      </c>
      <c r="F173" s="1" t="s">
        <v>20</v>
      </c>
      <c r="G173" s="2">
        <v>45098</v>
      </c>
      <c r="H173" s="3">
        <v>235</v>
      </c>
      <c r="I173" s="3">
        <v>463.21</v>
      </c>
      <c r="J173" s="3">
        <v>384.01</v>
      </c>
      <c r="K173" t="str">
        <f>IF(B173="", VLOOKUP(C173, Mapping!A:B, 2, FALSE), B173)</f>
        <v>North</v>
      </c>
      <c r="L173" t="str">
        <f t="shared" si="6"/>
        <v>Food</v>
      </c>
      <c r="M173">
        <f>IF(H173="", AVERAGEIF(Dataset!D:D, D173, Dataset!H:H), H173)</f>
        <v>235</v>
      </c>
      <c r="N173">
        <f>IF(I173="", AVERAGEIF(Dataset!D:D, D173, Dataset!I:I), I173)</f>
        <v>463.21</v>
      </c>
      <c r="O173">
        <f t="shared" si="7"/>
        <v>108854.34999999999</v>
      </c>
      <c r="P173">
        <f t="shared" si="8"/>
        <v>18611.999999999996</v>
      </c>
    </row>
    <row r="174" spans="1:16" ht="29.4" thickBot="1" x14ac:dyDescent="0.35">
      <c r="A174" s="1" t="s">
        <v>201</v>
      </c>
      <c r="B174" s="1" t="s">
        <v>11</v>
      </c>
      <c r="C174" s="1" t="s">
        <v>26</v>
      </c>
      <c r="D174" s="1" t="s">
        <v>13</v>
      </c>
      <c r="E174" s="1" t="s">
        <v>14</v>
      </c>
      <c r="F174" s="1" t="s">
        <v>28</v>
      </c>
      <c r="G174" s="2">
        <v>45099</v>
      </c>
      <c r="H174" s="3">
        <v>294</v>
      </c>
      <c r="I174" s="3">
        <v>221.9</v>
      </c>
      <c r="J174" s="3">
        <v>192.35</v>
      </c>
      <c r="K174" t="str">
        <f>IF(B174="", VLOOKUP(C174, Mapping!A:B, 2, FALSE), B174)</f>
        <v>East</v>
      </c>
      <c r="L174" t="str">
        <f t="shared" si="6"/>
        <v>Beverages</v>
      </c>
      <c r="M174">
        <f>IF(H174="", AVERAGEIF(Dataset!D:D, D174, Dataset!H:H), H174)</f>
        <v>294</v>
      </c>
      <c r="N174">
        <f>IF(I174="", AVERAGEIF(Dataset!D:D, D174, Dataset!I:I), I174)</f>
        <v>221.9</v>
      </c>
      <c r="O174">
        <f t="shared" si="7"/>
        <v>65238.6</v>
      </c>
      <c r="P174">
        <f t="shared" si="8"/>
        <v>8687.7000000000025</v>
      </c>
    </row>
    <row r="175" spans="1:16" ht="15" thickBot="1" x14ac:dyDescent="0.35">
      <c r="A175" s="1" t="s">
        <v>202</v>
      </c>
      <c r="B175" s="1" t="s">
        <v>17</v>
      </c>
      <c r="C175" s="1" t="s">
        <v>18</v>
      </c>
      <c r="D175" s="1" t="s">
        <v>27</v>
      </c>
      <c r="E175" s="1" t="s">
        <v>14</v>
      </c>
      <c r="F175" s="1" t="s">
        <v>15</v>
      </c>
      <c r="G175" s="2">
        <v>45100</v>
      </c>
      <c r="H175" s="3">
        <v>13</v>
      </c>
      <c r="I175" s="3">
        <v>451.18</v>
      </c>
      <c r="J175" s="3">
        <v>358.53</v>
      </c>
      <c r="K175" t="str">
        <f>IF(B175="", VLOOKUP(C175, Mapping!A:B, 2, FALSE), B175)</f>
        <v>West</v>
      </c>
      <c r="L175" t="str">
        <f t="shared" si="6"/>
        <v>Furniture</v>
      </c>
      <c r="M175">
        <f>IF(H175="", AVERAGEIF(Dataset!D:D, D175, Dataset!H:H), H175)</f>
        <v>13</v>
      </c>
      <c r="N175">
        <f>IF(I175="", AVERAGEIF(Dataset!D:D, D175, Dataset!I:I), I175)</f>
        <v>451.18</v>
      </c>
      <c r="O175">
        <f t="shared" si="7"/>
        <v>5865.34</v>
      </c>
      <c r="P175">
        <f t="shared" si="8"/>
        <v>1204.4500000000005</v>
      </c>
    </row>
    <row r="176" spans="1:16" ht="29.4" thickBot="1" x14ac:dyDescent="0.35">
      <c r="A176" s="1" t="s">
        <v>203</v>
      </c>
      <c r="B176" s="1" t="s">
        <v>17</v>
      </c>
      <c r="C176" s="1" t="s">
        <v>50</v>
      </c>
      <c r="D176" s="1" t="s">
        <v>13</v>
      </c>
      <c r="E176" s="1" t="s">
        <v>14</v>
      </c>
      <c r="F176" s="1" t="s">
        <v>15</v>
      </c>
      <c r="G176" s="2">
        <v>45101</v>
      </c>
      <c r="H176" s="3">
        <v>474</v>
      </c>
      <c r="I176" s="3">
        <v>439.56</v>
      </c>
      <c r="J176" s="3">
        <v>130.24</v>
      </c>
      <c r="K176" t="str">
        <f>IF(B176="", VLOOKUP(C176, Mapping!A:B, 2, FALSE), B176)</f>
        <v>West</v>
      </c>
      <c r="L176" t="str">
        <f t="shared" si="6"/>
        <v>Beverages</v>
      </c>
      <c r="M176">
        <f>IF(H176="", AVERAGEIF(Dataset!D:D, D176, Dataset!H:H), H176)</f>
        <v>474</v>
      </c>
      <c r="N176">
        <f>IF(I176="", AVERAGEIF(Dataset!D:D, D176, Dataset!I:I), I176)</f>
        <v>439.56</v>
      </c>
      <c r="O176">
        <f t="shared" si="7"/>
        <v>208351.44</v>
      </c>
      <c r="P176">
        <f t="shared" si="8"/>
        <v>146617.68</v>
      </c>
    </row>
    <row r="177" spans="1:16" ht="15" thickBot="1" x14ac:dyDescent="0.35">
      <c r="A177" s="1" t="s">
        <v>204</v>
      </c>
      <c r="B177" s="1" t="s">
        <v>48</v>
      </c>
      <c r="C177" s="1" t="s">
        <v>50</v>
      </c>
      <c r="D177" s="1" t="s">
        <v>27</v>
      </c>
      <c r="E177" s="1" t="s">
        <v>24</v>
      </c>
      <c r="F177" s="1" t="s">
        <v>28</v>
      </c>
      <c r="G177" s="2">
        <v>45102</v>
      </c>
      <c r="H177" s="3">
        <v>108</v>
      </c>
      <c r="I177" s="3">
        <v>162.01</v>
      </c>
      <c r="J177" s="3">
        <v>51.84</v>
      </c>
      <c r="K177" t="str">
        <f>IF(B177="", VLOOKUP(C177, Mapping!A:B, 2, FALSE), B177)</f>
        <v>South</v>
      </c>
      <c r="L177" t="str">
        <f t="shared" si="6"/>
        <v>Furniture</v>
      </c>
      <c r="M177">
        <f>IF(H177="", AVERAGEIF(Dataset!D:D, D177, Dataset!H:H), H177)</f>
        <v>108</v>
      </c>
      <c r="N177">
        <f>IF(I177="", AVERAGEIF(Dataset!D:D, D177, Dataset!I:I), I177)</f>
        <v>162.01</v>
      </c>
      <c r="O177">
        <f t="shared" si="7"/>
        <v>17497.079999999998</v>
      </c>
      <c r="P177">
        <f t="shared" si="8"/>
        <v>11898.359999999999</v>
      </c>
    </row>
    <row r="178" spans="1:16" ht="29.4" thickBot="1" x14ac:dyDescent="0.35">
      <c r="A178" s="1" t="s">
        <v>205</v>
      </c>
      <c r="B178" s="1" t="s">
        <v>11</v>
      </c>
      <c r="C178" s="1" t="s">
        <v>18</v>
      </c>
      <c r="D178" s="1" t="s">
        <v>13</v>
      </c>
      <c r="E178" s="1" t="s">
        <v>14</v>
      </c>
      <c r="F178" s="1" t="s">
        <v>20</v>
      </c>
      <c r="G178" s="2">
        <v>45103</v>
      </c>
      <c r="H178" s="3">
        <v>406</v>
      </c>
      <c r="I178" s="3">
        <v>435.11</v>
      </c>
      <c r="J178" s="3">
        <v>190.79</v>
      </c>
      <c r="K178" t="str">
        <f>IF(B178="", VLOOKUP(C178, Mapping!A:B, 2, FALSE), B178)</f>
        <v>East</v>
      </c>
      <c r="L178" t="str">
        <f t="shared" si="6"/>
        <v>Beverages</v>
      </c>
      <c r="M178">
        <f>IF(H178="", AVERAGEIF(Dataset!D:D, D178, Dataset!H:H), H178)</f>
        <v>406</v>
      </c>
      <c r="N178">
        <f>IF(I178="", AVERAGEIF(Dataset!D:D, D178, Dataset!I:I), I178)</f>
        <v>435.11</v>
      </c>
      <c r="O178">
        <f t="shared" si="7"/>
        <v>176654.66</v>
      </c>
      <c r="P178">
        <f t="shared" si="8"/>
        <v>99193.920000000013</v>
      </c>
    </row>
    <row r="179" spans="1:16" ht="15" thickBot="1" x14ac:dyDescent="0.35">
      <c r="A179" s="1" t="s">
        <v>206</v>
      </c>
      <c r="B179" s="1" t="s">
        <v>11</v>
      </c>
      <c r="C179" s="1" t="s">
        <v>50</v>
      </c>
      <c r="D179" s="1" t="s">
        <v>23</v>
      </c>
      <c r="E179" s="1" t="s">
        <v>14</v>
      </c>
      <c r="F179" s="1" t="s">
        <v>28</v>
      </c>
      <c r="G179" s="2">
        <v>45104</v>
      </c>
      <c r="H179" s="3">
        <v>498</v>
      </c>
      <c r="I179" s="3">
        <v>190.96</v>
      </c>
      <c r="J179" s="3">
        <v>47.35</v>
      </c>
      <c r="K179" t="str">
        <f>IF(B179="", VLOOKUP(C179, Mapping!A:B, 2, FALSE), B179)</f>
        <v>East</v>
      </c>
      <c r="L179" t="str">
        <f t="shared" si="6"/>
        <v>Clothing</v>
      </c>
      <c r="M179">
        <f>IF(H179="", AVERAGEIF(Dataset!D:D, D179, Dataset!H:H), H179)</f>
        <v>498</v>
      </c>
      <c r="N179">
        <f>IF(I179="", AVERAGEIF(Dataset!D:D, D179, Dataset!I:I), I179)</f>
        <v>190.96</v>
      </c>
      <c r="O179">
        <f t="shared" si="7"/>
        <v>95098.08</v>
      </c>
      <c r="P179">
        <f t="shared" si="8"/>
        <v>71517.780000000013</v>
      </c>
    </row>
    <row r="180" spans="1:16" ht="15" thickBot="1" x14ac:dyDescent="0.35">
      <c r="A180" s="1" t="s">
        <v>207</v>
      </c>
      <c r="B180" s="1" t="s">
        <v>22</v>
      </c>
      <c r="C180" s="1" t="s">
        <v>50</v>
      </c>
      <c r="D180" s="1" t="s">
        <v>23</v>
      </c>
      <c r="E180" s="1" t="s">
        <v>24</v>
      </c>
      <c r="F180" s="1" t="s">
        <v>20</v>
      </c>
      <c r="G180" s="2">
        <v>45105</v>
      </c>
      <c r="H180" s="3">
        <v>48</v>
      </c>
      <c r="I180" s="3">
        <v>151.94999999999999</v>
      </c>
      <c r="J180" s="3">
        <v>195.43</v>
      </c>
      <c r="K180" t="str">
        <f>IF(B180="", VLOOKUP(C180, Mapping!A:B, 2, FALSE), B180)</f>
        <v>North</v>
      </c>
      <c r="L180" t="str">
        <f t="shared" si="6"/>
        <v>Clothing</v>
      </c>
      <c r="M180">
        <f>IF(H180="", AVERAGEIF(Dataset!D:D, D180, Dataset!H:H), H180)</f>
        <v>48</v>
      </c>
      <c r="N180">
        <f>IF(I180="", AVERAGEIF(Dataset!D:D, D180, Dataset!I:I), I180)</f>
        <v>151.94999999999999</v>
      </c>
      <c r="O180">
        <f t="shared" si="7"/>
        <v>7293.5999999999995</v>
      </c>
      <c r="P180">
        <f t="shared" si="8"/>
        <v>0</v>
      </c>
    </row>
    <row r="181" spans="1:16" ht="15" thickBot="1" x14ac:dyDescent="0.35">
      <c r="A181" s="1" t="s">
        <v>208</v>
      </c>
      <c r="B181" s="1" t="s">
        <v>11</v>
      </c>
      <c r="C181" s="1" t="s">
        <v>50</v>
      </c>
      <c r="D181" s="1" t="s">
        <v>23</v>
      </c>
      <c r="E181" s="1" t="s">
        <v>14</v>
      </c>
      <c r="F181" s="1" t="s">
        <v>15</v>
      </c>
      <c r="G181" s="2">
        <v>45106</v>
      </c>
      <c r="H181" s="3">
        <v>280</v>
      </c>
      <c r="I181" s="3">
        <v>326.29000000000002</v>
      </c>
      <c r="J181" s="3">
        <v>368.28</v>
      </c>
      <c r="K181" t="str">
        <f>IF(B181="", VLOOKUP(C181, Mapping!A:B, 2, FALSE), B181)</f>
        <v>East</v>
      </c>
      <c r="L181" t="str">
        <f t="shared" si="6"/>
        <v>Clothing</v>
      </c>
      <c r="M181">
        <f>IF(H181="", AVERAGEIF(Dataset!D:D, D181, Dataset!H:H), H181)</f>
        <v>280</v>
      </c>
      <c r="N181">
        <f>IF(I181="", AVERAGEIF(Dataset!D:D, D181, Dataset!I:I), I181)</f>
        <v>326.29000000000002</v>
      </c>
      <c r="O181">
        <f t="shared" si="7"/>
        <v>91361.200000000012</v>
      </c>
      <c r="P181">
        <f t="shared" si="8"/>
        <v>0</v>
      </c>
    </row>
    <row r="182" spans="1:16" ht="15" thickBot="1" x14ac:dyDescent="0.35">
      <c r="A182" s="1" t="s">
        <v>209</v>
      </c>
      <c r="B182" s="1" t="s">
        <v>22</v>
      </c>
      <c r="C182" s="1" t="s">
        <v>31</v>
      </c>
      <c r="D182" s="1" t="s">
        <v>23</v>
      </c>
      <c r="E182" s="1" t="s">
        <v>14</v>
      </c>
      <c r="F182" s="1" t="s">
        <v>20</v>
      </c>
      <c r="G182" s="2">
        <v>45107</v>
      </c>
      <c r="H182" s="3">
        <v>384</v>
      </c>
      <c r="I182" s="3">
        <v>167.55</v>
      </c>
      <c r="J182" s="3">
        <v>209.27</v>
      </c>
      <c r="K182" t="str">
        <f>IF(B182="", VLOOKUP(C182, Mapping!A:B, 2, FALSE), B182)</f>
        <v>North</v>
      </c>
      <c r="L182" t="str">
        <f t="shared" si="6"/>
        <v>Clothing</v>
      </c>
      <c r="M182">
        <f>IF(H182="", AVERAGEIF(Dataset!D:D, D182, Dataset!H:H), H182)</f>
        <v>384</v>
      </c>
      <c r="N182">
        <f>IF(I182="", AVERAGEIF(Dataset!D:D, D182, Dataset!I:I), I182)</f>
        <v>167.55</v>
      </c>
      <c r="O182">
        <f t="shared" si="7"/>
        <v>64339.200000000004</v>
      </c>
      <c r="P182">
        <f t="shared" si="8"/>
        <v>0</v>
      </c>
    </row>
    <row r="183" spans="1:16" ht="29.4" thickBot="1" x14ac:dyDescent="0.35">
      <c r="A183" s="1" t="s">
        <v>210</v>
      </c>
      <c r="B183" s="1" t="s">
        <v>11</v>
      </c>
      <c r="C183" s="1" t="s">
        <v>12</v>
      </c>
      <c r="D183" s="1" t="s">
        <v>42</v>
      </c>
      <c r="E183" s="1" t="s">
        <v>14</v>
      </c>
      <c r="F183" s="1" t="s">
        <v>28</v>
      </c>
      <c r="G183" s="2">
        <v>45108</v>
      </c>
      <c r="H183" s="3">
        <v>294</v>
      </c>
      <c r="I183" s="3">
        <v>316.95</v>
      </c>
      <c r="J183" s="3">
        <v>247.37</v>
      </c>
      <c r="K183" t="str">
        <f>IF(B183="", VLOOKUP(C183, Mapping!A:B, 2, FALSE), B183)</f>
        <v>East</v>
      </c>
      <c r="L183" t="str">
        <f t="shared" si="6"/>
        <v>Electronics</v>
      </c>
      <c r="M183">
        <f>IF(H183="", AVERAGEIF(Dataset!D:D, D183, Dataset!H:H), H183)</f>
        <v>294</v>
      </c>
      <c r="N183">
        <f>IF(I183="", AVERAGEIF(Dataset!D:D, D183, Dataset!I:I), I183)</f>
        <v>316.95</v>
      </c>
      <c r="O183">
        <f t="shared" si="7"/>
        <v>93183.3</v>
      </c>
      <c r="P183">
        <f t="shared" si="8"/>
        <v>20456.519999999997</v>
      </c>
    </row>
    <row r="184" spans="1:16" ht="15" thickBot="1" x14ac:dyDescent="0.35">
      <c r="A184" s="1" t="s">
        <v>211</v>
      </c>
      <c r="B184" s="1" t="s">
        <v>48</v>
      </c>
      <c r="C184" s="1" t="s">
        <v>26</v>
      </c>
      <c r="D184" s="1" t="s">
        <v>23</v>
      </c>
      <c r="E184" s="1" t="s">
        <v>14</v>
      </c>
      <c r="F184" s="1" t="s">
        <v>15</v>
      </c>
      <c r="G184" s="2">
        <v>45109</v>
      </c>
      <c r="H184" s="3">
        <v>166</v>
      </c>
      <c r="I184" s="3">
        <v>306.87</v>
      </c>
      <c r="J184" s="3">
        <v>64.34</v>
      </c>
      <c r="K184" t="str">
        <f>IF(B184="", VLOOKUP(C184, Mapping!A:B, 2, FALSE), B184)</f>
        <v>South</v>
      </c>
      <c r="L184" t="str">
        <f t="shared" si="6"/>
        <v>Clothing</v>
      </c>
      <c r="M184">
        <f>IF(H184="", AVERAGEIF(Dataset!D:D, D184, Dataset!H:H), H184)</f>
        <v>166</v>
      </c>
      <c r="N184">
        <f>IF(I184="", AVERAGEIF(Dataset!D:D, D184, Dataset!I:I), I184)</f>
        <v>306.87</v>
      </c>
      <c r="O184">
        <f t="shared" si="7"/>
        <v>50940.42</v>
      </c>
      <c r="P184">
        <f t="shared" si="8"/>
        <v>40259.980000000003</v>
      </c>
    </row>
    <row r="185" spans="1:16" ht="15" thickBot="1" x14ac:dyDescent="0.35">
      <c r="A185" s="1" t="s">
        <v>212</v>
      </c>
      <c r="B185" s="1" t="s">
        <v>11</v>
      </c>
      <c r="C185" s="1" t="s">
        <v>31</v>
      </c>
      <c r="D185" s="1" t="s">
        <v>19</v>
      </c>
      <c r="E185" s="1" t="s">
        <v>14</v>
      </c>
      <c r="F185" s="1" t="s">
        <v>28</v>
      </c>
      <c r="G185" s="2">
        <v>45110</v>
      </c>
      <c r="H185" s="3">
        <v>84</v>
      </c>
      <c r="I185" s="3">
        <v>283.89999999999998</v>
      </c>
      <c r="J185" s="3">
        <v>19.41</v>
      </c>
      <c r="K185" t="str">
        <f>IF(B185="", VLOOKUP(C185, Mapping!A:B, 2, FALSE), B185)</f>
        <v>East</v>
      </c>
      <c r="L185" t="str">
        <f t="shared" si="6"/>
        <v>Food</v>
      </c>
      <c r="M185">
        <f>IF(H185="", AVERAGEIF(Dataset!D:D, D185, Dataset!H:H), H185)</f>
        <v>84</v>
      </c>
      <c r="N185">
        <f>IF(I185="", AVERAGEIF(Dataset!D:D, D185, Dataset!I:I), I185)</f>
        <v>283.89999999999998</v>
      </c>
      <c r="O185">
        <f t="shared" si="7"/>
        <v>23847.599999999999</v>
      </c>
      <c r="P185">
        <f t="shared" si="8"/>
        <v>22217.159999999996</v>
      </c>
    </row>
    <row r="186" spans="1:16" ht="15" thickBot="1" x14ac:dyDescent="0.35">
      <c r="A186" s="1" t="s">
        <v>213</v>
      </c>
      <c r="B186" s="1" t="s">
        <v>22</v>
      </c>
      <c r="C186" s="1" t="s">
        <v>50</v>
      </c>
      <c r="D186" s="1" t="s">
        <v>19</v>
      </c>
      <c r="E186" s="1" t="s">
        <v>14</v>
      </c>
      <c r="F186" s="1" t="s">
        <v>28</v>
      </c>
      <c r="G186" s="2">
        <v>45111</v>
      </c>
      <c r="H186" s="3">
        <v>381</v>
      </c>
      <c r="I186" s="3">
        <v>193.31</v>
      </c>
      <c r="J186" s="3">
        <v>46.1</v>
      </c>
      <c r="K186" t="str">
        <f>IF(B186="", VLOOKUP(C186, Mapping!A:B, 2, FALSE), B186)</f>
        <v>North</v>
      </c>
      <c r="L186" t="str">
        <f t="shared" si="6"/>
        <v>Food</v>
      </c>
      <c r="M186">
        <f>IF(H186="", AVERAGEIF(Dataset!D:D, D186, Dataset!H:H), H186)</f>
        <v>381</v>
      </c>
      <c r="N186">
        <f>IF(I186="", AVERAGEIF(Dataset!D:D, D186, Dataset!I:I), I186)</f>
        <v>193.31</v>
      </c>
      <c r="O186">
        <f t="shared" si="7"/>
        <v>73651.11</v>
      </c>
      <c r="P186">
        <f t="shared" si="8"/>
        <v>56087.01</v>
      </c>
    </row>
    <row r="187" spans="1:16" ht="29.4" thickBot="1" x14ac:dyDescent="0.35">
      <c r="A187" s="1" t="s">
        <v>214</v>
      </c>
      <c r="B187" s="1" t="s">
        <v>22</v>
      </c>
      <c r="C187" s="1" t="s">
        <v>18</v>
      </c>
      <c r="D187" s="1" t="s">
        <v>42</v>
      </c>
      <c r="E187" s="1" t="s">
        <v>24</v>
      </c>
      <c r="F187" s="1" t="s">
        <v>20</v>
      </c>
      <c r="G187" s="2">
        <v>45112</v>
      </c>
      <c r="H187" s="3">
        <v>297</v>
      </c>
      <c r="I187" s="3">
        <v>276.51</v>
      </c>
      <c r="J187" s="3">
        <v>240.22</v>
      </c>
      <c r="K187" t="str">
        <f>IF(B187="", VLOOKUP(C187, Mapping!A:B, 2, FALSE), B187)</f>
        <v>North</v>
      </c>
      <c r="L187" t="str">
        <f t="shared" si="6"/>
        <v>Electronics</v>
      </c>
      <c r="M187">
        <f>IF(H187="", AVERAGEIF(Dataset!D:D, D187, Dataset!H:H), H187)</f>
        <v>297</v>
      </c>
      <c r="N187">
        <f>IF(I187="", AVERAGEIF(Dataset!D:D, D187, Dataset!I:I), I187)</f>
        <v>276.51</v>
      </c>
      <c r="O187">
        <f t="shared" si="7"/>
        <v>82123.47</v>
      </c>
      <c r="P187">
        <f t="shared" si="8"/>
        <v>10778.129999999997</v>
      </c>
    </row>
    <row r="188" spans="1:16" ht="15" thickBot="1" x14ac:dyDescent="0.35">
      <c r="A188" s="1" t="s">
        <v>215</v>
      </c>
      <c r="B188" s="1" t="s">
        <v>48</v>
      </c>
      <c r="C188" s="1" t="s">
        <v>50</v>
      </c>
      <c r="D188" s="1" t="s">
        <v>23</v>
      </c>
      <c r="E188" s="1" t="s">
        <v>24</v>
      </c>
      <c r="F188" s="1" t="s">
        <v>28</v>
      </c>
      <c r="G188" s="2">
        <v>45113</v>
      </c>
      <c r="H188" s="3">
        <v>139</v>
      </c>
      <c r="I188" s="3">
        <v>300.26</v>
      </c>
      <c r="J188" s="3">
        <v>39.81</v>
      </c>
      <c r="K188" t="str">
        <f>IF(B188="", VLOOKUP(C188, Mapping!A:B, 2, FALSE), B188)</f>
        <v>South</v>
      </c>
      <c r="L188" t="str">
        <f t="shared" si="6"/>
        <v>Clothing</v>
      </c>
      <c r="M188">
        <f>IF(H188="", AVERAGEIF(Dataset!D:D, D188, Dataset!H:H), H188)</f>
        <v>139</v>
      </c>
      <c r="N188">
        <f>IF(I188="", AVERAGEIF(Dataset!D:D, D188, Dataset!I:I), I188)</f>
        <v>300.26</v>
      </c>
      <c r="O188">
        <f t="shared" si="7"/>
        <v>41736.14</v>
      </c>
      <c r="P188">
        <f t="shared" si="8"/>
        <v>36202.549999999996</v>
      </c>
    </row>
    <row r="189" spans="1:16" ht="15" thickBot="1" x14ac:dyDescent="0.35">
      <c r="A189" s="1" t="s">
        <v>216</v>
      </c>
      <c r="B189" s="1" t="s">
        <v>11</v>
      </c>
      <c r="C189" s="1" t="s">
        <v>12</v>
      </c>
      <c r="D189" s="1" t="s">
        <v>23</v>
      </c>
      <c r="E189" s="1" t="s">
        <v>14</v>
      </c>
      <c r="F189" s="1" t="s">
        <v>20</v>
      </c>
      <c r="G189" s="2">
        <v>45114</v>
      </c>
      <c r="H189" s="3">
        <v>184</v>
      </c>
      <c r="I189" s="3">
        <v>275.12</v>
      </c>
      <c r="J189" s="3">
        <v>151.65</v>
      </c>
      <c r="K189" t="str">
        <f>IF(B189="", VLOOKUP(C189, Mapping!A:B, 2, FALSE), B189)</f>
        <v>East</v>
      </c>
      <c r="L189" t="str">
        <f t="shared" si="6"/>
        <v>Clothing</v>
      </c>
      <c r="M189">
        <f>IF(H189="", AVERAGEIF(Dataset!D:D, D189, Dataset!H:H), H189)</f>
        <v>184</v>
      </c>
      <c r="N189">
        <f>IF(I189="", AVERAGEIF(Dataset!D:D, D189, Dataset!I:I), I189)</f>
        <v>275.12</v>
      </c>
      <c r="O189">
        <f t="shared" si="7"/>
        <v>50622.080000000002</v>
      </c>
      <c r="P189">
        <f t="shared" si="8"/>
        <v>22718.48</v>
      </c>
    </row>
    <row r="190" spans="1:16" ht="15" thickBot="1" x14ac:dyDescent="0.35">
      <c r="A190" s="1" t="s">
        <v>217</v>
      </c>
      <c r="B190" s="1" t="s">
        <v>11</v>
      </c>
      <c r="C190" s="1" t="s">
        <v>50</v>
      </c>
      <c r="D190" s="1" t="s">
        <v>23</v>
      </c>
      <c r="E190" s="1" t="s">
        <v>14</v>
      </c>
      <c r="F190" s="1" t="s">
        <v>15</v>
      </c>
      <c r="G190" s="2">
        <v>45115</v>
      </c>
      <c r="H190" s="3">
        <v>471</v>
      </c>
      <c r="I190" s="3">
        <v>224.99</v>
      </c>
      <c r="J190" s="3">
        <v>220.94</v>
      </c>
      <c r="K190" t="str">
        <f>IF(B190="", VLOOKUP(C190, Mapping!A:B, 2, FALSE), B190)</f>
        <v>East</v>
      </c>
      <c r="L190" t="str">
        <f t="shared" si="6"/>
        <v>Clothing</v>
      </c>
      <c r="M190">
        <f>IF(H190="", AVERAGEIF(Dataset!D:D, D190, Dataset!H:H), H190)</f>
        <v>471</v>
      </c>
      <c r="N190">
        <f>IF(I190="", AVERAGEIF(Dataset!D:D, D190, Dataset!I:I), I190)</f>
        <v>224.99</v>
      </c>
      <c r="O190">
        <f t="shared" si="7"/>
        <v>105970.29000000001</v>
      </c>
      <c r="P190">
        <f t="shared" si="8"/>
        <v>1907.5500000000054</v>
      </c>
    </row>
    <row r="191" spans="1:16" ht="29.4" thickBot="1" x14ac:dyDescent="0.35">
      <c r="A191" s="1" t="s">
        <v>218</v>
      </c>
      <c r="B191" s="1" t="s">
        <v>48</v>
      </c>
      <c r="C191" s="1" t="s">
        <v>18</v>
      </c>
      <c r="D191" s="1" t="s">
        <v>13</v>
      </c>
      <c r="E191" s="1" t="s">
        <v>24</v>
      </c>
      <c r="F191" s="1" t="s">
        <v>20</v>
      </c>
      <c r="G191" s="2">
        <v>45116</v>
      </c>
      <c r="H191" s="3">
        <v>93</v>
      </c>
      <c r="I191" s="3">
        <v>12.26</v>
      </c>
      <c r="J191" s="3">
        <v>156.68</v>
      </c>
      <c r="K191" t="str">
        <f>IF(B191="", VLOOKUP(C191, Mapping!A:B, 2, FALSE), B191)</f>
        <v>South</v>
      </c>
      <c r="L191" t="str">
        <f t="shared" si="6"/>
        <v>Beverages</v>
      </c>
      <c r="M191">
        <f>IF(H191="", AVERAGEIF(Dataset!D:D, D191, Dataset!H:H), H191)</f>
        <v>93</v>
      </c>
      <c r="N191">
        <f>IF(I191="", AVERAGEIF(Dataset!D:D, D191, Dataset!I:I), I191)</f>
        <v>12.26</v>
      </c>
      <c r="O191">
        <f t="shared" si="7"/>
        <v>1140.18</v>
      </c>
      <c r="P191">
        <f t="shared" si="8"/>
        <v>0</v>
      </c>
    </row>
    <row r="192" spans="1:16" ht="15" thickBot="1" x14ac:dyDescent="0.35">
      <c r="A192" s="1" t="s">
        <v>219</v>
      </c>
      <c r="B192" s="1" t="s">
        <v>11</v>
      </c>
      <c r="C192" s="1" t="s">
        <v>12</v>
      </c>
      <c r="D192" s="1" t="s">
        <v>27</v>
      </c>
      <c r="E192" s="1" t="s">
        <v>14</v>
      </c>
      <c r="F192" s="1" t="s">
        <v>15</v>
      </c>
      <c r="G192" s="2">
        <v>45117</v>
      </c>
      <c r="H192" s="3">
        <v>31</v>
      </c>
      <c r="I192" s="3">
        <v>295.60000000000002</v>
      </c>
      <c r="J192" s="3">
        <v>67.150000000000006</v>
      </c>
      <c r="K192" t="str">
        <f>IF(B192="", VLOOKUP(C192, Mapping!A:B, 2, FALSE), B192)</f>
        <v>East</v>
      </c>
      <c r="L192" t="str">
        <f t="shared" si="6"/>
        <v>Furniture</v>
      </c>
      <c r="M192">
        <f>IF(H192="", AVERAGEIF(Dataset!D:D, D192, Dataset!H:H), H192)</f>
        <v>31</v>
      </c>
      <c r="N192">
        <f>IF(I192="", AVERAGEIF(Dataset!D:D, D192, Dataset!I:I), I192)</f>
        <v>295.60000000000002</v>
      </c>
      <c r="O192">
        <f t="shared" si="7"/>
        <v>9163.6</v>
      </c>
      <c r="P192">
        <f t="shared" si="8"/>
        <v>7081.9500000000007</v>
      </c>
    </row>
    <row r="193" spans="1:16" ht="29.4" thickBot="1" x14ac:dyDescent="0.35">
      <c r="A193" s="1" t="s">
        <v>220</v>
      </c>
      <c r="B193" s="1" t="s">
        <v>11</v>
      </c>
      <c r="C193" s="1" t="s">
        <v>50</v>
      </c>
      <c r="D193" s="1" t="s">
        <v>13</v>
      </c>
      <c r="E193" s="1" t="s">
        <v>14</v>
      </c>
      <c r="F193" s="1" t="s">
        <v>20</v>
      </c>
      <c r="G193" s="2">
        <v>45118</v>
      </c>
      <c r="H193" s="3">
        <v>468</v>
      </c>
      <c r="I193" s="3">
        <v>88.38</v>
      </c>
      <c r="J193" s="3">
        <v>110.97</v>
      </c>
      <c r="K193" t="str">
        <f>IF(B193="", VLOOKUP(C193, Mapping!A:B, 2, FALSE), B193)</f>
        <v>East</v>
      </c>
      <c r="L193" t="str">
        <f t="shared" si="6"/>
        <v>Beverages</v>
      </c>
      <c r="M193">
        <f>IF(H193="", AVERAGEIF(Dataset!D:D, D193, Dataset!H:H), H193)</f>
        <v>468</v>
      </c>
      <c r="N193">
        <f>IF(I193="", AVERAGEIF(Dataset!D:D, D193, Dataset!I:I), I193)</f>
        <v>88.38</v>
      </c>
      <c r="O193">
        <f t="shared" si="7"/>
        <v>41361.839999999997</v>
      </c>
      <c r="P193">
        <f t="shared" si="8"/>
        <v>0</v>
      </c>
    </row>
    <row r="194" spans="1:16" ht="15" thickBot="1" x14ac:dyDescent="0.35">
      <c r="A194" s="1" t="s">
        <v>221</v>
      </c>
      <c r="B194" s="1" t="s">
        <v>22</v>
      </c>
      <c r="C194" s="1" t="s">
        <v>12</v>
      </c>
      <c r="D194" s="1" t="s">
        <v>27</v>
      </c>
      <c r="E194" s="1" t="s">
        <v>14</v>
      </c>
      <c r="F194" s="1" t="s">
        <v>28</v>
      </c>
      <c r="G194" s="2">
        <v>45119</v>
      </c>
      <c r="H194" s="3">
        <v>36</v>
      </c>
      <c r="I194" s="3">
        <v>323.08</v>
      </c>
      <c r="J194" s="3">
        <v>371.47</v>
      </c>
      <c r="K194" t="str">
        <f>IF(B194="", VLOOKUP(C194, Mapping!A:B, 2, FALSE), B194)</f>
        <v>North</v>
      </c>
      <c r="L194" t="str">
        <f t="shared" si="6"/>
        <v>Furniture</v>
      </c>
      <c r="M194">
        <f>IF(H194="", AVERAGEIF(Dataset!D:D, D194, Dataset!H:H), H194)</f>
        <v>36</v>
      </c>
      <c r="N194">
        <f>IF(I194="", AVERAGEIF(Dataset!D:D, D194, Dataset!I:I), I194)</f>
        <v>323.08</v>
      </c>
      <c r="O194">
        <f t="shared" si="7"/>
        <v>11630.88</v>
      </c>
      <c r="P194">
        <f t="shared" si="8"/>
        <v>0</v>
      </c>
    </row>
    <row r="195" spans="1:16" ht="15" thickBot="1" x14ac:dyDescent="0.35">
      <c r="A195" s="1" t="s">
        <v>222</v>
      </c>
      <c r="B195" s="1" t="s">
        <v>11</v>
      </c>
      <c r="C195" s="1" t="s">
        <v>26</v>
      </c>
      <c r="D195" s="1" t="s">
        <v>23</v>
      </c>
      <c r="E195" s="1" t="s">
        <v>24</v>
      </c>
      <c r="F195" s="1" t="s">
        <v>20</v>
      </c>
      <c r="G195" s="2">
        <v>45120</v>
      </c>
      <c r="H195" s="3">
        <v>204</v>
      </c>
      <c r="I195" s="3">
        <v>380.88</v>
      </c>
      <c r="J195" s="3">
        <v>271.04000000000002</v>
      </c>
      <c r="K195" t="str">
        <f>IF(B195="", VLOOKUP(C195, Mapping!A:B, 2, FALSE), B195)</f>
        <v>East</v>
      </c>
      <c r="L195" t="str">
        <f t="shared" ref="L195:L258" si="9">IF(D195="", IF(H195&lt;100,"Clothing", IF(H195&lt;=250,"Food", IF(H195&lt;=400,"Furniture","Electronics"))), D195)</f>
        <v>Clothing</v>
      </c>
      <c r="M195">
        <f>IF(H195="", AVERAGEIF(Dataset!D:D, D195, Dataset!H:H), H195)</f>
        <v>204</v>
      </c>
      <c r="N195">
        <f>IF(I195="", AVERAGEIF(Dataset!D:D, D195, Dataset!I:I), I195)</f>
        <v>380.88</v>
      </c>
      <c r="O195">
        <f t="shared" ref="O195:O258" si="10">IF(OR(H195="",I195=""),"",H195*I195)</f>
        <v>77699.520000000004</v>
      </c>
      <c r="P195">
        <f t="shared" ref="P195:P258" si="11">MAX(0, H195*(I195-J195))</f>
        <v>22407.359999999993</v>
      </c>
    </row>
    <row r="196" spans="1:16" ht="15" thickBot="1" x14ac:dyDescent="0.35">
      <c r="A196" s="1" t="s">
        <v>223</v>
      </c>
      <c r="B196" s="1" t="s">
        <v>11</v>
      </c>
      <c r="C196" s="1" t="s">
        <v>26</v>
      </c>
      <c r="D196" s="1" t="s">
        <v>23</v>
      </c>
      <c r="E196" s="1" t="s">
        <v>14</v>
      </c>
      <c r="F196" s="1" t="s">
        <v>20</v>
      </c>
      <c r="G196" s="2">
        <v>45121</v>
      </c>
      <c r="H196" s="3">
        <v>346</v>
      </c>
      <c r="I196" s="3">
        <v>252.72</v>
      </c>
      <c r="J196" s="3">
        <v>199.43</v>
      </c>
      <c r="K196" t="str">
        <f>IF(B196="", VLOOKUP(C196, Mapping!A:B, 2, FALSE), B196)</f>
        <v>East</v>
      </c>
      <c r="L196" t="str">
        <f t="shared" si="9"/>
        <v>Clothing</v>
      </c>
      <c r="M196">
        <f>IF(H196="", AVERAGEIF(Dataset!D:D, D196, Dataset!H:H), H196)</f>
        <v>346</v>
      </c>
      <c r="N196">
        <f>IF(I196="", AVERAGEIF(Dataset!D:D, D196, Dataset!I:I), I196)</f>
        <v>252.72</v>
      </c>
      <c r="O196">
        <f t="shared" si="10"/>
        <v>87441.12</v>
      </c>
      <c r="P196">
        <f t="shared" si="11"/>
        <v>18438.339999999997</v>
      </c>
    </row>
    <row r="197" spans="1:16" ht="29.4" thickBot="1" x14ac:dyDescent="0.35">
      <c r="A197" s="1" t="s">
        <v>224</v>
      </c>
      <c r="B197" s="1" t="s">
        <v>48</v>
      </c>
      <c r="C197" s="1" t="s">
        <v>50</v>
      </c>
      <c r="D197" s="1" t="s">
        <v>13</v>
      </c>
      <c r="E197" s="1" t="s">
        <v>24</v>
      </c>
      <c r="F197" s="1" t="s">
        <v>15</v>
      </c>
      <c r="G197" s="2">
        <v>45122</v>
      </c>
      <c r="H197" s="3">
        <v>391</v>
      </c>
      <c r="I197" s="3">
        <v>273.47000000000003</v>
      </c>
      <c r="J197" s="3">
        <v>7.06</v>
      </c>
      <c r="K197" t="str">
        <f>IF(B197="", VLOOKUP(C197, Mapping!A:B, 2, FALSE), B197)</f>
        <v>South</v>
      </c>
      <c r="L197" t="str">
        <f t="shared" si="9"/>
        <v>Beverages</v>
      </c>
      <c r="M197">
        <f>IF(H197="", AVERAGEIF(Dataset!D:D, D197, Dataset!H:H), H197)</f>
        <v>391</v>
      </c>
      <c r="N197">
        <f>IF(I197="", AVERAGEIF(Dataset!D:D, D197, Dataset!I:I), I197)</f>
        <v>273.47000000000003</v>
      </c>
      <c r="O197">
        <f t="shared" si="10"/>
        <v>106926.77</v>
      </c>
      <c r="P197">
        <f t="shared" si="11"/>
        <v>104166.31000000001</v>
      </c>
    </row>
    <row r="198" spans="1:16" ht="29.4" thickBot="1" x14ac:dyDescent="0.35">
      <c r="A198" s="1" t="s">
        <v>225</v>
      </c>
      <c r="B198" s="1" t="s">
        <v>48</v>
      </c>
      <c r="C198" s="1" t="s">
        <v>12</v>
      </c>
      <c r="D198" s="1" t="s">
        <v>13</v>
      </c>
      <c r="E198" s="1" t="s">
        <v>14</v>
      </c>
      <c r="F198" s="1" t="s">
        <v>28</v>
      </c>
      <c r="G198" s="2">
        <v>45123</v>
      </c>
      <c r="H198" s="3">
        <v>245</v>
      </c>
      <c r="I198" s="3">
        <v>475.98</v>
      </c>
      <c r="J198" s="3">
        <v>396.98</v>
      </c>
      <c r="K198" t="str">
        <f>IF(B198="", VLOOKUP(C198, Mapping!A:B, 2, FALSE), B198)</f>
        <v>South</v>
      </c>
      <c r="L198" t="str">
        <f t="shared" si="9"/>
        <v>Beverages</v>
      </c>
      <c r="M198">
        <f>IF(H198="", AVERAGEIF(Dataset!D:D, D198, Dataset!H:H), H198)</f>
        <v>245</v>
      </c>
      <c r="N198">
        <f>IF(I198="", AVERAGEIF(Dataset!D:D, D198, Dataset!I:I), I198)</f>
        <v>475.98</v>
      </c>
      <c r="O198">
        <f t="shared" si="10"/>
        <v>116615.1</v>
      </c>
      <c r="P198">
        <f t="shared" si="11"/>
        <v>19355</v>
      </c>
    </row>
    <row r="199" spans="1:16" ht="15" thickBot="1" x14ac:dyDescent="0.35">
      <c r="A199" s="1" t="s">
        <v>226</v>
      </c>
      <c r="B199" s="1" t="s">
        <v>17</v>
      </c>
      <c r="C199" s="1" t="s">
        <v>18</v>
      </c>
      <c r="D199" s="1" t="s">
        <v>27</v>
      </c>
      <c r="E199" s="1" t="s">
        <v>24</v>
      </c>
      <c r="F199" s="1" t="s">
        <v>20</v>
      </c>
      <c r="G199" s="2">
        <v>45124</v>
      </c>
      <c r="H199" s="3">
        <v>449</v>
      </c>
      <c r="I199" s="3">
        <v>424.35</v>
      </c>
      <c r="J199" s="3">
        <v>269.24</v>
      </c>
      <c r="K199" t="str">
        <f>IF(B199="", VLOOKUP(C199, Mapping!A:B, 2, FALSE), B199)</f>
        <v>West</v>
      </c>
      <c r="L199" t="str">
        <f t="shared" si="9"/>
        <v>Furniture</v>
      </c>
      <c r="M199">
        <f>IF(H199="", AVERAGEIF(Dataset!D:D, D199, Dataset!H:H), H199)</f>
        <v>449</v>
      </c>
      <c r="N199">
        <f>IF(I199="", AVERAGEIF(Dataset!D:D, D199, Dataset!I:I), I199)</f>
        <v>424.35</v>
      </c>
      <c r="O199">
        <f t="shared" si="10"/>
        <v>190533.15000000002</v>
      </c>
      <c r="P199">
        <f t="shared" si="11"/>
        <v>69644.39</v>
      </c>
    </row>
    <row r="200" spans="1:16" ht="15" thickBot="1" x14ac:dyDescent="0.35">
      <c r="A200" s="1" t="s">
        <v>227</v>
      </c>
      <c r="B200" s="1" t="s">
        <v>22</v>
      </c>
      <c r="C200" s="1" t="s">
        <v>50</v>
      </c>
      <c r="D200" s="1" t="s">
        <v>19</v>
      </c>
      <c r="E200" s="1" t="s">
        <v>24</v>
      </c>
      <c r="F200" s="1" t="s">
        <v>28</v>
      </c>
      <c r="G200" s="2">
        <v>45125</v>
      </c>
      <c r="H200" s="3">
        <v>101</v>
      </c>
      <c r="I200" s="3">
        <v>457.55</v>
      </c>
      <c r="J200" s="3">
        <v>128.13999999999999</v>
      </c>
      <c r="K200" t="str">
        <f>IF(B200="", VLOOKUP(C200, Mapping!A:B, 2, FALSE), B200)</f>
        <v>North</v>
      </c>
      <c r="L200" t="str">
        <f t="shared" si="9"/>
        <v>Food</v>
      </c>
      <c r="M200">
        <f>IF(H200="", AVERAGEIF(Dataset!D:D, D200, Dataset!H:H), H200)</f>
        <v>101</v>
      </c>
      <c r="N200">
        <f>IF(I200="", AVERAGEIF(Dataset!D:D, D200, Dataset!I:I), I200)</f>
        <v>457.55</v>
      </c>
      <c r="O200">
        <f t="shared" si="10"/>
        <v>46212.55</v>
      </c>
      <c r="P200">
        <f t="shared" si="11"/>
        <v>33270.410000000003</v>
      </c>
    </row>
    <row r="201" spans="1:16" ht="15" thickBot="1" x14ac:dyDescent="0.35">
      <c r="A201" s="1" t="s">
        <v>228</v>
      </c>
      <c r="B201" s="1" t="s">
        <v>11</v>
      </c>
      <c r="C201" s="1" t="s">
        <v>26</v>
      </c>
      <c r="D201" s="1" t="s">
        <v>27</v>
      </c>
      <c r="E201" s="1" t="s">
        <v>14</v>
      </c>
      <c r="F201" s="1" t="s">
        <v>20</v>
      </c>
      <c r="G201" s="2">
        <v>45126</v>
      </c>
      <c r="H201" s="1"/>
      <c r="I201" s="3">
        <v>407.81</v>
      </c>
      <c r="J201" s="3">
        <v>351.95</v>
      </c>
      <c r="K201" t="str">
        <f>IF(B201="", VLOOKUP(C201, Mapping!A:B, 2, FALSE), B201)</f>
        <v>East</v>
      </c>
      <c r="L201" t="str">
        <f t="shared" si="9"/>
        <v>Furniture</v>
      </c>
      <c r="M201">
        <f>IF(H201="", AVERAGEIF(Dataset!D:D, D201, Dataset!H:H), H201)</f>
        <v>254.52238805970148</v>
      </c>
      <c r="N201">
        <f>IF(I201="", AVERAGEIF(Dataset!D:D, D201, Dataset!I:I), I201)</f>
        <v>407.81</v>
      </c>
      <c r="O201" t="str">
        <f t="shared" si="10"/>
        <v/>
      </c>
      <c r="P201">
        <f t="shared" si="11"/>
        <v>0</v>
      </c>
    </row>
    <row r="202" spans="1:16" ht="29.4" thickBot="1" x14ac:dyDescent="0.35">
      <c r="A202" s="1" t="s">
        <v>229</v>
      </c>
      <c r="B202" s="1" t="s">
        <v>11</v>
      </c>
      <c r="C202" s="1" t="s">
        <v>26</v>
      </c>
      <c r="D202" s="1" t="s">
        <v>13</v>
      </c>
      <c r="E202" s="1" t="s">
        <v>24</v>
      </c>
      <c r="F202" s="1" t="s">
        <v>20</v>
      </c>
      <c r="G202" s="2">
        <v>45127</v>
      </c>
      <c r="H202" s="3">
        <v>30</v>
      </c>
      <c r="I202" s="3">
        <v>58.91</v>
      </c>
      <c r="J202" s="3">
        <v>104.86</v>
      </c>
      <c r="K202" t="str">
        <f>IF(B202="", VLOOKUP(C202, Mapping!A:B, 2, FALSE), B202)</f>
        <v>East</v>
      </c>
      <c r="L202" t="str">
        <f t="shared" si="9"/>
        <v>Beverages</v>
      </c>
      <c r="M202">
        <f>IF(H202="", AVERAGEIF(Dataset!D:D, D202, Dataset!H:H), H202)</f>
        <v>30</v>
      </c>
      <c r="N202">
        <f>IF(I202="", AVERAGEIF(Dataset!D:D, D202, Dataset!I:I), I202)</f>
        <v>58.91</v>
      </c>
      <c r="O202">
        <f t="shared" si="10"/>
        <v>1767.3</v>
      </c>
      <c r="P202">
        <f t="shared" si="11"/>
        <v>0</v>
      </c>
    </row>
    <row r="203" spans="1:16" ht="29.4" thickBot="1" x14ac:dyDescent="0.35">
      <c r="A203" s="1" t="s">
        <v>230</v>
      </c>
      <c r="B203" s="1" t="s">
        <v>17</v>
      </c>
      <c r="C203" s="1" t="s">
        <v>50</v>
      </c>
      <c r="D203" s="1" t="s">
        <v>13</v>
      </c>
      <c r="E203" s="1" t="s">
        <v>14</v>
      </c>
      <c r="F203" s="1" t="s">
        <v>28</v>
      </c>
      <c r="G203" s="2">
        <v>45128</v>
      </c>
      <c r="H203" s="3">
        <v>312</v>
      </c>
      <c r="I203" s="3">
        <v>78.75</v>
      </c>
      <c r="J203" s="3">
        <v>218.52</v>
      </c>
      <c r="K203" t="str">
        <f>IF(B203="", VLOOKUP(C203, Mapping!A:B, 2, FALSE), B203)</f>
        <v>West</v>
      </c>
      <c r="L203" t="str">
        <f t="shared" si="9"/>
        <v>Beverages</v>
      </c>
      <c r="M203">
        <f>IF(H203="", AVERAGEIF(Dataset!D:D, D203, Dataset!H:H), H203)</f>
        <v>312</v>
      </c>
      <c r="N203">
        <f>IF(I203="", AVERAGEIF(Dataset!D:D, D203, Dataset!I:I), I203)</f>
        <v>78.75</v>
      </c>
      <c r="O203">
        <f t="shared" si="10"/>
        <v>24570</v>
      </c>
      <c r="P203">
        <f t="shared" si="11"/>
        <v>0</v>
      </c>
    </row>
    <row r="204" spans="1:16" ht="29.4" thickBot="1" x14ac:dyDescent="0.35">
      <c r="A204" s="1" t="s">
        <v>231</v>
      </c>
      <c r="B204" s="1" t="s">
        <v>11</v>
      </c>
      <c r="C204" s="1" t="s">
        <v>12</v>
      </c>
      <c r="D204" s="1" t="s">
        <v>42</v>
      </c>
      <c r="E204" s="1" t="s">
        <v>24</v>
      </c>
      <c r="F204" s="1" t="s">
        <v>20</v>
      </c>
      <c r="G204" s="2">
        <v>45129</v>
      </c>
      <c r="H204" s="3">
        <v>473</v>
      </c>
      <c r="I204" s="3">
        <v>265.68</v>
      </c>
      <c r="J204" s="3">
        <v>255.16</v>
      </c>
      <c r="K204" t="str">
        <f>IF(B204="", VLOOKUP(C204, Mapping!A:B, 2, FALSE), B204)</f>
        <v>East</v>
      </c>
      <c r="L204" t="str">
        <f t="shared" si="9"/>
        <v>Electronics</v>
      </c>
      <c r="M204">
        <f>IF(H204="", AVERAGEIF(Dataset!D:D, D204, Dataset!H:H), H204)</f>
        <v>473</v>
      </c>
      <c r="N204">
        <f>IF(I204="", AVERAGEIF(Dataset!D:D, D204, Dataset!I:I), I204)</f>
        <v>265.68</v>
      </c>
      <c r="O204">
        <f t="shared" si="10"/>
        <v>125666.64</v>
      </c>
      <c r="P204">
        <f t="shared" si="11"/>
        <v>4975.9600000000046</v>
      </c>
    </row>
    <row r="205" spans="1:16" ht="29.4" thickBot="1" x14ac:dyDescent="0.35">
      <c r="A205" s="1" t="s">
        <v>232</v>
      </c>
      <c r="B205" s="1" t="s">
        <v>22</v>
      </c>
      <c r="C205" s="1" t="s">
        <v>26</v>
      </c>
      <c r="D205" s="1" t="s">
        <v>13</v>
      </c>
      <c r="E205" s="1" t="s">
        <v>14</v>
      </c>
      <c r="F205" s="1" t="s">
        <v>28</v>
      </c>
      <c r="G205" s="2">
        <v>45130</v>
      </c>
      <c r="H205" s="3">
        <v>366</v>
      </c>
      <c r="I205" s="3">
        <v>126.8</v>
      </c>
      <c r="J205" s="3">
        <v>89.98</v>
      </c>
      <c r="K205" t="str">
        <f>IF(B205="", VLOOKUP(C205, Mapping!A:B, 2, FALSE), B205)</f>
        <v>North</v>
      </c>
      <c r="L205" t="str">
        <f t="shared" si="9"/>
        <v>Beverages</v>
      </c>
      <c r="M205">
        <f>IF(H205="", AVERAGEIF(Dataset!D:D, D205, Dataset!H:H), H205)</f>
        <v>366</v>
      </c>
      <c r="N205">
        <f>IF(I205="", AVERAGEIF(Dataset!D:D, D205, Dataset!I:I), I205)</f>
        <v>126.8</v>
      </c>
      <c r="O205">
        <f t="shared" si="10"/>
        <v>46408.799999999996</v>
      </c>
      <c r="P205">
        <f t="shared" si="11"/>
        <v>13476.119999999997</v>
      </c>
    </row>
    <row r="206" spans="1:16" ht="29.4" thickBot="1" x14ac:dyDescent="0.35">
      <c r="A206" s="1" t="s">
        <v>233</v>
      </c>
      <c r="B206" s="1" t="s">
        <v>17</v>
      </c>
      <c r="C206" s="1" t="s">
        <v>12</v>
      </c>
      <c r="D206" s="1" t="s">
        <v>42</v>
      </c>
      <c r="E206" s="1" t="s">
        <v>14</v>
      </c>
      <c r="F206" s="1" t="s">
        <v>20</v>
      </c>
      <c r="G206" s="2">
        <v>45131</v>
      </c>
      <c r="H206" s="3">
        <v>452</v>
      </c>
      <c r="I206" s="3">
        <v>240.96</v>
      </c>
      <c r="J206" s="3">
        <v>391.4</v>
      </c>
      <c r="K206" t="str">
        <f>IF(B206="", VLOOKUP(C206, Mapping!A:B, 2, FALSE), B206)</f>
        <v>West</v>
      </c>
      <c r="L206" t="str">
        <f t="shared" si="9"/>
        <v>Electronics</v>
      </c>
      <c r="M206">
        <f>IF(H206="", AVERAGEIF(Dataset!D:D, D206, Dataset!H:H), H206)</f>
        <v>452</v>
      </c>
      <c r="N206">
        <f>IF(I206="", AVERAGEIF(Dataset!D:D, D206, Dataset!I:I), I206)</f>
        <v>240.96</v>
      </c>
      <c r="O206">
        <f t="shared" si="10"/>
        <v>108913.92</v>
      </c>
      <c r="P206">
        <f t="shared" si="11"/>
        <v>0</v>
      </c>
    </row>
    <row r="207" spans="1:16" ht="15" thickBot="1" x14ac:dyDescent="0.35">
      <c r="A207" s="1" t="s">
        <v>234</v>
      </c>
      <c r="B207" s="1" t="s">
        <v>22</v>
      </c>
      <c r="C207" s="1" t="s">
        <v>26</v>
      </c>
      <c r="D207" s="1" t="s">
        <v>19</v>
      </c>
      <c r="E207" s="1" t="s">
        <v>24</v>
      </c>
      <c r="F207" s="1" t="s">
        <v>15</v>
      </c>
      <c r="G207" s="2">
        <v>45132</v>
      </c>
      <c r="H207" s="3">
        <v>93</v>
      </c>
      <c r="I207" s="3">
        <v>200.21</v>
      </c>
      <c r="J207" s="3">
        <v>299.77999999999997</v>
      </c>
      <c r="K207" t="str">
        <f>IF(B207="", VLOOKUP(C207, Mapping!A:B, 2, FALSE), B207)</f>
        <v>North</v>
      </c>
      <c r="L207" t="str">
        <f t="shared" si="9"/>
        <v>Food</v>
      </c>
      <c r="M207">
        <f>IF(H207="", AVERAGEIF(Dataset!D:D, D207, Dataset!H:H), H207)</f>
        <v>93</v>
      </c>
      <c r="N207">
        <f>IF(I207="", AVERAGEIF(Dataset!D:D, D207, Dataset!I:I), I207)</f>
        <v>200.21</v>
      </c>
      <c r="O207">
        <f t="shared" si="10"/>
        <v>18619.530000000002</v>
      </c>
      <c r="P207">
        <f t="shared" si="11"/>
        <v>0</v>
      </c>
    </row>
    <row r="208" spans="1:16" ht="15" thickBot="1" x14ac:dyDescent="0.35">
      <c r="A208" s="1" t="s">
        <v>235</v>
      </c>
      <c r="B208" s="1" t="s">
        <v>17</v>
      </c>
      <c r="C208" s="1" t="s">
        <v>26</v>
      </c>
      <c r="D208" s="1" t="s">
        <v>27</v>
      </c>
      <c r="E208" s="1" t="s">
        <v>14</v>
      </c>
      <c r="F208" s="1" t="s">
        <v>28</v>
      </c>
      <c r="G208" s="2">
        <v>45133</v>
      </c>
      <c r="H208" s="3">
        <v>271</v>
      </c>
      <c r="I208" s="3">
        <v>276.95999999999998</v>
      </c>
      <c r="J208" s="3">
        <v>224.01</v>
      </c>
      <c r="K208" t="str">
        <f>IF(B208="", VLOOKUP(C208, Mapping!A:B, 2, FALSE), B208)</f>
        <v>West</v>
      </c>
      <c r="L208" t="str">
        <f t="shared" si="9"/>
        <v>Furniture</v>
      </c>
      <c r="M208">
        <f>IF(H208="", AVERAGEIF(Dataset!D:D, D208, Dataset!H:H), H208)</f>
        <v>271</v>
      </c>
      <c r="N208">
        <f>IF(I208="", AVERAGEIF(Dataset!D:D, D208, Dataset!I:I), I208)</f>
        <v>276.95999999999998</v>
      </c>
      <c r="O208">
        <f t="shared" si="10"/>
        <v>75056.159999999989</v>
      </c>
      <c r="P208">
        <f t="shared" si="11"/>
        <v>14349.449999999997</v>
      </c>
    </row>
    <row r="209" spans="1:16" ht="15" thickBot="1" x14ac:dyDescent="0.35">
      <c r="A209" s="1" t="s">
        <v>236</v>
      </c>
      <c r="B209" s="1" t="s">
        <v>17</v>
      </c>
      <c r="C209" s="1" t="s">
        <v>31</v>
      </c>
      <c r="D209" s="1" t="s">
        <v>27</v>
      </c>
      <c r="E209" s="1" t="s">
        <v>14</v>
      </c>
      <c r="F209" s="1" t="s">
        <v>20</v>
      </c>
      <c r="G209" s="2">
        <v>45134</v>
      </c>
      <c r="H209" s="3">
        <v>156</v>
      </c>
      <c r="I209" s="3">
        <v>374.7</v>
      </c>
      <c r="J209" s="3">
        <v>73.88</v>
      </c>
      <c r="K209" t="str">
        <f>IF(B209="", VLOOKUP(C209, Mapping!A:B, 2, FALSE), B209)</f>
        <v>West</v>
      </c>
      <c r="L209" t="str">
        <f t="shared" si="9"/>
        <v>Furniture</v>
      </c>
      <c r="M209">
        <f>IF(H209="", AVERAGEIF(Dataset!D:D, D209, Dataset!H:H), H209)</f>
        <v>156</v>
      </c>
      <c r="N209">
        <f>IF(I209="", AVERAGEIF(Dataset!D:D, D209, Dataset!I:I), I209)</f>
        <v>374.7</v>
      </c>
      <c r="O209">
        <f t="shared" si="10"/>
        <v>58453.2</v>
      </c>
      <c r="P209">
        <f t="shared" si="11"/>
        <v>46927.92</v>
      </c>
    </row>
    <row r="210" spans="1:16" ht="29.4" thickBot="1" x14ac:dyDescent="0.35">
      <c r="A210" s="1" t="s">
        <v>237</v>
      </c>
      <c r="B210" s="1" t="s">
        <v>48</v>
      </c>
      <c r="C210" s="1" t="s">
        <v>26</v>
      </c>
      <c r="D210" s="1" t="s">
        <v>42</v>
      </c>
      <c r="E210" s="1" t="s">
        <v>24</v>
      </c>
      <c r="F210" s="1" t="s">
        <v>20</v>
      </c>
      <c r="G210" s="2">
        <v>45135</v>
      </c>
      <c r="H210" s="3">
        <v>450</v>
      </c>
      <c r="I210" s="3">
        <v>359.17</v>
      </c>
      <c r="J210" s="3">
        <v>23.44</v>
      </c>
      <c r="K210" t="str">
        <f>IF(B210="", VLOOKUP(C210, Mapping!A:B, 2, FALSE), B210)</f>
        <v>South</v>
      </c>
      <c r="L210" t="str">
        <f t="shared" si="9"/>
        <v>Electronics</v>
      </c>
      <c r="M210">
        <f>IF(H210="", AVERAGEIF(Dataset!D:D, D210, Dataset!H:H), H210)</f>
        <v>450</v>
      </c>
      <c r="N210">
        <f>IF(I210="", AVERAGEIF(Dataset!D:D, D210, Dataset!I:I), I210)</f>
        <v>359.17</v>
      </c>
      <c r="O210">
        <f t="shared" si="10"/>
        <v>161626.5</v>
      </c>
      <c r="P210">
        <f t="shared" si="11"/>
        <v>151078.5</v>
      </c>
    </row>
    <row r="211" spans="1:16" ht="15" thickBot="1" x14ac:dyDescent="0.35">
      <c r="A211" s="1" t="s">
        <v>238</v>
      </c>
      <c r="B211" s="1" t="s">
        <v>22</v>
      </c>
      <c r="C211" s="1" t="s">
        <v>18</v>
      </c>
      <c r="D211" s="1" t="s">
        <v>27</v>
      </c>
      <c r="E211" s="1" t="s">
        <v>14</v>
      </c>
      <c r="F211" s="1" t="s">
        <v>15</v>
      </c>
      <c r="G211" s="2">
        <v>45136</v>
      </c>
      <c r="H211" s="3">
        <v>462</v>
      </c>
      <c r="I211" s="3">
        <v>263.01</v>
      </c>
      <c r="J211" s="3">
        <v>129.38</v>
      </c>
      <c r="K211" t="str">
        <f>IF(B211="", VLOOKUP(C211, Mapping!A:B, 2, FALSE), B211)</f>
        <v>North</v>
      </c>
      <c r="L211" t="str">
        <f t="shared" si="9"/>
        <v>Furniture</v>
      </c>
      <c r="M211">
        <f>IF(H211="", AVERAGEIF(Dataset!D:D, D211, Dataset!H:H), H211)</f>
        <v>462</v>
      </c>
      <c r="N211">
        <f>IF(I211="", AVERAGEIF(Dataset!D:D, D211, Dataset!I:I), I211)</f>
        <v>263.01</v>
      </c>
      <c r="O211">
        <f t="shared" si="10"/>
        <v>121510.62</v>
      </c>
      <c r="P211">
        <f t="shared" si="11"/>
        <v>61737.06</v>
      </c>
    </row>
    <row r="212" spans="1:16" ht="15" thickBot="1" x14ac:dyDescent="0.35">
      <c r="A212" s="1" t="s">
        <v>239</v>
      </c>
      <c r="B212" s="1" t="s">
        <v>11</v>
      </c>
      <c r="C212" s="1" t="s">
        <v>50</v>
      </c>
      <c r="D212" s="1"/>
      <c r="E212" s="1" t="s">
        <v>14</v>
      </c>
      <c r="F212" s="1" t="s">
        <v>28</v>
      </c>
      <c r="G212" s="2">
        <v>45137</v>
      </c>
      <c r="H212" s="3">
        <v>396</v>
      </c>
      <c r="I212" s="3">
        <v>412.08</v>
      </c>
      <c r="J212" s="3">
        <v>301.77</v>
      </c>
      <c r="K212" t="str">
        <f>IF(B212="", VLOOKUP(C212, Mapping!A:B, 2, FALSE), B212)</f>
        <v>East</v>
      </c>
      <c r="L212" t="str">
        <f t="shared" si="9"/>
        <v>Furniture</v>
      </c>
      <c r="M212">
        <f>IF(H212="", AVERAGEIF(Dataset!D:D, D212, Dataset!H:H), H212)</f>
        <v>396</v>
      </c>
      <c r="N212">
        <f>IF(I212="", AVERAGEIF(Dataset!D:D, D212, Dataset!I:I), I212)</f>
        <v>412.08</v>
      </c>
      <c r="O212">
        <f t="shared" si="10"/>
        <v>163183.67999999999</v>
      </c>
      <c r="P212">
        <f t="shared" si="11"/>
        <v>43682.76</v>
      </c>
    </row>
    <row r="213" spans="1:16" ht="15" thickBot="1" x14ac:dyDescent="0.35">
      <c r="A213" s="1" t="s">
        <v>240</v>
      </c>
      <c r="B213" s="1" t="s">
        <v>11</v>
      </c>
      <c r="C213" s="1" t="s">
        <v>50</v>
      </c>
      <c r="D213" s="1" t="s">
        <v>23</v>
      </c>
      <c r="E213" s="1" t="s">
        <v>24</v>
      </c>
      <c r="F213" s="1" t="s">
        <v>20</v>
      </c>
      <c r="G213" s="2">
        <v>45138</v>
      </c>
      <c r="H213" s="3">
        <v>266</v>
      </c>
      <c r="I213" s="3">
        <v>218.28</v>
      </c>
      <c r="J213" s="3">
        <v>109.19</v>
      </c>
      <c r="K213" t="str">
        <f>IF(B213="", VLOOKUP(C213, Mapping!A:B, 2, FALSE), B213)</f>
        <v>East</v>
      </c>
      <c r="L213" t="str">
        <f t="shared" si="9"/>
        <v>Clothing</v>
      </c>
      <c r="M213">
        <f>IF(H213="", AVERAGEIF(Dataset!D:D, D213, Dataset!H:H), H213)</f>
        <v>266</v>
      </c>
      <c r="N213">
        <f>IF(I213="", AVERAGEIF(Dataset!D:D, D213, Dataset!I:I), I213)</f>
        <v>218.28</v>
      </c>
      <c r="O213">
        <f t="shared" si="10"/>
        <v>58062.48</v>
      </c>
      <c r="P213">
        <f t="shared" si="11"/>
        <v>29017.940000000002</v>
      </c>
    </row>
    <row r="214" spans="1:16" ht="29.4" thickBot="1" x14ac:dyDescent="0.35">
      <c r="A214" s="1" t="s">
        <v>241</v>
      </c>
      <c r="B214" s="1" t="s">
        <v>22</v>
      </c>
      <c r="C214" s="1" t="s">
        <v>12</v>
      </c>
      <c r="D214" s="1" t="s">
        <v>42</v>
      </c>
      <c r="E214" s="1" t="s">
        <v>24</v>
      </c>
      <c r="F214" s="1" t="s">
        <v>15</v>
      </c>
      <c r="G214" s="2">
        <v>45139</v>
      </c>
      <c r="H214" s="3">
        <v>67</v>
      </c>
      <c r="I214" s="3">
        <v>448.87</v>
      </c>
      <c r="J214" s="3">
        <v>216.74</v>
      </c>
      <c r="K214" t="str">
        <f>IF(B214="", VLOOKUP(C214, Mapping!A:B, 2, FALSE), B214)</f>
        <v>North</v>
      </c>
      <c r="L214" t="str">
        <f t="shared" si="9"/>
        <v>Electronics</v>
      </c>
      <c r="M214">
        <f>IF(H214="", AVERAGEIF(Dataset!D:D, D214, Dataset!H:H), H214)</f>
        <v>67</v>
      </c>
      <c r="N214">
        <f>IF(I214="", AVERAGEIF(Dataset!D:D, D214, Dataset!I:I), I214)</f>
        <v>448.87</v>
      </c>
      <c r="O214">
        <f t="shared" si="10"/>
        <v>30074.29</v>
      </c>
      <c r="P214">
        <f t="shared" si="11"/>
        <v>15552.71</v>
      </c>
    </row>
    <row r="215" spans="1:16" ht="15" thickBot="1" x14ac:dyDescent="0.35">
      <c r="A215" s="1" t="s">
        <v>242</v>
      </c>
      <c r="B215" s="1" t="s">
        <v>11</v>
      </c>
      <c r="C215" s="1" t="s">
        <v>26</v>
      </c>
      <c r="D215" s="1" t="s">
        <v>27</v>
      </c>
      <c r="E215" s="1" t="s">
        <v>14</v>
      </c>
      <c r="F215" s="1" t="s">
        <v>20</v>
      </c>
      <c r="G215" s="2">
        <v>45140</v>
      </c>
      <c r="H215" s="3">
        <v>389</v>
      </c>
      <c r="I215" s="3">
        <v>40.28</v>
      </c>
      <c r="J215" s="3">
        <v>291.72000000000003</v>
      </c>
      <c r="K215" t="str">
        <f>IF(B215="", VLOOKUP(C215, Mapping!A:B, 2, FALSE), B215)</f>
        <v>East</v>
      </c>
      <c r="L215" t="str">
        <f t="shared" si="9"/>
        <v>Furniture</v>
      </c>
      <c r="M215">
        <f>IF(H215="", AVERAGEIF(Dataset!D:D, D215, Dataset!H:H), H215)</f>
        <v>389</v>
      </c>
      <c r="N215">
        <f>IF(I215="", AVERAGEIF(Dataset!D:D, D215, Dataset!I:I), I215)</f>
        <v>40.28</v>
      </c>
      <c r="O215">
        <f t="shared" si="10"/>
        <v>15668.92</v>
      </c>
      <c r="P215">
        <f t="shared" si="11"/>
        <v>0</v>
      </c>
    </row>
    <row r="216" spans="1:16" ht="29.4" thickBot="1" x14ac:dyDescent="0.35">
      <c r="A216" s="1" t="s">
        <v>243</v>
      </c>
      <c r="B216" s="1" t="s">
        <v>11</v>
      </c>
      <c r="C216" s="1" t="s">
        <v>18</v>
      </c>
      <c r="D216" s="1" t="s">
        <v>42</v>
      </c>
      <c r="E216" s="1" t="s">
        <v>14</v>
      </c>
      <c r="F216" s="1" t="s">
        <v>28</v>
      </c>
      <c r="G216" s="2">
        <v>45141</v>
      </c>
      <c r="H216" s="3">
        <v>431</v>
      </c>
      <c r="I216" s="3">
        <v>477.56</v>
      </c>
      <c r="J216" s="3">
        <v>44.96</v>
      </c>
      <c r="K216" t="str">
        <f>IF(B216="", VLOOKUP(C216, Mapping!A:B, 2, FALSE), B216)</f>
        <v>East</v>
      </c>
      <c r="L216" t="str">
        <f t="shared" si="9"/>
        <v>Electronics</v>
      </c>
      <c r="M216">
        <f>IF(H216="", AVERAGEIF(Dataset!D:D, D216, Dataset!H:H), H216)</f>
        <v>431</v>
      </c>
      <c r="N216">
        <f>IF(I216="", AVERAGEIF(Dataset!D:D, D216, Dataset!I:I), I216)</f>
        <v>477.56</v>
      </c>
      <c r="O216">
        <f t="shared" si="10"/>
        <v>205828.36000000002</v>
      </c>
      <c r="P216">
        <f t="shared" si="11"/>
        <v>186450.6</v>
      </c>
    </row>
    <row r="217" spans="1:16" ht="29.4" thickBot="1" x14ac:dyDescent="0.35">
      <c r="A217" s="1" t="s">
        <v>244</v>
      </c>
      <c r="B217" s="1" t="s">
        <v>22</v>
      </c>
      <c r="C217" s="1" t="s">
        <v>12</v>
      </c>
      <c r="D217" s="1" t="s">
        <v>42</v>
      </c>
      <c r="E217" s="1" t="s">
        <v>24</v>
      </c>
      <c r="F217" s="1" t="s">
        <v>20</v>
      </c>
      <c r="G217" s="2">
        <v>45142</v>
      </c>
      <c r="H217" s="3">
        <v>24</v>
      </c>
      <c r="I217" s="3">
        <v>329.07</v>
      </c>
      <c r="J217" s="3">
        <v>274.75</v>
      </c>
      <c r="K217" t="str">
        <f>IF(B217="", VLOOKUP(C217, Mapping!A:B, 2, FALSE), B217)</f>
        <v>North</v>
      </c>
      <c r="L217" t="str">
        <f t="shared" si="9"/>
        <v>Electronics</v>
      </c>
      <c r="M217">
        <f>IF(H217="", AVERAGEIF(Dataset!D:D, D217, Dataset!H:H), H217)</f>
        <v>24</v>
      </c>
      <c r="N217">
        <f>IF(I217="", AVERAGEIF(Dataset!D:D, D217, Dataset!I:I), I217)</f>
        <v>329.07</v>
      </c>
      <c r="O217">
        <f t="shared" si="10"/>
        <v>7897.68</v>
      </c>
      <c r="P217">
        <f t="shared" si="11"/>
        <v>1303.6799999999998</v>
      </c>
    </row>
    <row r="218" spans="1:16" ht="15" thickBot="1" x14ac:dyDescent="0.35">
      <c r="A218" s="1" t="s">
        <v>245</v>
      </c>
      <c r="B218" s="1" t="s">
        <v>17</v>
      </c>
      <c r="C218" s="1" t="s">
        <v>31</v>
      </c>
      <c r="D218" s="1" t="s">
        <v>23</v>
      </c>
      <c r="E218" s="1" t="s">
        <v>24</v>
      </c>
      <c r="F218" s="1" t="s">
        <v>20</v>
      </c>
      <c r="G218" s="2">
        <v>45143</v>
      </c>
      <c r="H218" s="3">
        <v>171</v>
      </c>
      <c r="I218" s="3">
        <v>193.14</v>
      </c>
      <c r="J218" s="3">
        <v>38.56</v>
      </c>
      <c r="K218" t="str">
        <f>IF(B218="", VLOOKUP(C218, Mapping!A:B, 2, FALSE), B218)</f>
        <v>West</v>
      </c>
      <c r="L218" t="str">
        <f t="shared" si="9"/>
        <v>Clothing</v>
      </c>
      <c r="M218">
        <f>IF(H218="", AVERAGEIF(Dataset!D:D, D218, Dataset!H:H), H218)</f>
        <v>171</v>
      </c>
      <c r="N218">
        <f>IF(I218="", AVERAGEIF(Dataset!D:D, D218, Dataset!I:I), I218)</f>
        <v>193.14</v>
      </c>
      <c r="O218">
        <f t="shared" si="10"/>
        <v>33026.939999999995</v>
      </c>
      <c r="P218">
        <f t="shared" si="11"/>
        <v>26433.179999999997</v>
      </c>
    </row>
    <row r="219" spans="1:16" ht="29.4" thickBot="1" x14ac:dyDescent="0.35">
      <c r="A219" s="1" t="s">
        <v>246</v>
      </c>
      <c r="B219" s="1" t="s">
        <v>22</v>
      </c>
      <c r="C219" s="1" t="s">
        <v>12</v>
      </c>
      <c r="D219" s="1" t="s">
        <v>13</v>
      </c>
      <c r="E219" s="1" t="s">
        <v>14</v>
      </c>
      <c r="F219" s="1" t="s">
        <v>20</v>
      </c>
      <c r="G219" s="2">
        <v>45144</v>
      </c>
      <c r="H219" s="3">
        <v>454</v>
      </c>
      <c r="I219" s="3">
        <v>102.59</v>
      </c>
      <c r="J219" s="3">
        <v>386.12</v>
      </c>
      <c r="K219" t="str">
        <f>IF(B219="", VLOOKUP(C219, Mapping!A:B, 2, FALSE), B219)</f>
        <v>North</v>
      </c>
      <c r="L219" t="str">
        <f t="shared" si="9"/>
        <v>Beverages</v>
      </c>
      <c r="M219">
        <f>IF(H219="", AVERAGEIF(Dataset!D:D, D219, Dataset!H:H), H219)</f>
        <v>454</v>
      </c>
      <c r="N219">
        <f>IF(I219="", AVERAGEIF(Dataset!D:D, D219, Dataset!I:I), I219)</f>
        <v>102.59</v>
      </c>
      <c r="O219">
        <f t="shared" si="10"/>
        <v>46575.86</v>
      </c>
      <c r="P219">
        <f t="shared" si="11"/>
        <v>0</v>
      </c>
    </row>
    <row r="220" spans="1:16" ht="29.4" thickBot="1" x14ac:dyDescent="0.35">
      <c r="A220" s="1" t="s">
        <v>247</v>
      </c>
      <c r="B220" s="1" t="s">
        <v>17</v>
      </c>
      <c r="C220" s="1" t="s">
        <v>12</v>
      </c>
      <c r="D220" s="1" t="s">
        <v>42</v>
      </c>
      <c r="E220" s="1" t="s">
        <v>24</v>
      </c>
      <c r="F220" s="1" t="s">
        <v>20</v>
      </c>
      <c r="G220" s="2">
        <v>45145</v>
      </c>
      <c r="H220" s="3">
        <v>172</v>
      </c>
      <c r="I220" s="3">
        <v>242.2</v>
      </c>
      <c r="J220" s="3">
        <v>196.38</v>
      </c>
      <c r="K220" t="str">
        <f>IF(B220="", VLOOKUP(C220, Mapping!A:B, 2, FALSE), B220)</f>
        <v>West</v>
      </c>
      <c r="L220" t="str">
        <f t="shared" si="9"/>
        <v>Electronics</v>
      </c>
      <c r="M220">
        <f>IF(H220="", AVERAGEIF(Dataset!D:D, D220, Dataset!H:H), H220)</f>
        <v>172</v>
      </c>
      <c r="N220">
        <f>IF(I220="", AVERAGEIF(Dataset!D:D, D220, Dataset!I:I), I220)</f>
        <v>242.2</v>
      </c>
      <c r="O220">
        <f t="shared" si="10"/>
        <v>41658.400000000001</v>
      </c>
      <c r="P220">
        <f t="shared" si="11"/>
        <v>7881.0399999999991</v>
      </c>
    </row>
    <row r="221" spans="1:16" ht="15" thickBot="1" x14ac:dyDescent="0.35">
      <c r="A221" s="1" t="s">
        <v>248</v>
      </c>
      <c r="B221" s="1" t="s">
        <v>11</v>
      </c>
      <c r="C221" s="1" t="s">
        <v>26</v>
      </c>
      <c r="D221" s="1" t="s">
        <v>27</v>
      </c>
      <c r="E221" s="1" t="s">
        <v>14</v>
      </c>
      <c r="F221" s="1" t="s">
        <v>15</v>
      </c>
      <c r="G221" s="2">
        <v>45146</v>
      </c>
      <c r="H221" s="3">
        <v>329</v>
      </c>
      <c r="I221" s="3">
        <v>101.31</v>
      </c>
      <c r="J221" s="3">
        <v>61.97</v>
      </c>
      <c r="K221" t="str">
        <f>IF(B221="", VLOOKUP(C221, Mapping!A:B, 2, FALSE), B221)</f>
        <v>East</v>
      </c>
      <c r="L221" t="str">
        <f t="shared" si="9"/>
        <v>Furniture</v>
      </c>
      <c r="M221">
        <f>IF(H221="", AVERAGEIF(Dataset!D:D, D221, Dataset!H:H), H221)</f>
        <v>329</v>
      </c>
      <c r="N221">
        <f>IF(I221="", AVERAGEIF(Dataset!D:D, D221, Dataset!I:I), I221)</f>
        <v>101.31</v>
      </c>
      <c r="O221">
        <f t="shared" si="10"/>
        <v>33330.99</v>
      </c>
      <c r="P221">
        <f t="shared" si="11"/>
        <v>12942.86</v>
      </c>
    </row>
    <row r="222" spans="1:16" ht="15" thickBot="1" x14ac:dyDescent="0.35">
      <c r="A222" s="1" t="s">
        <v>249</v>
      </c>
      <c r="B222" s="1" t="s">
        <v>11</v>
      </c>
      <c r="C222" s="1" t="s">
        <v>31</v>
      </c>
      <c r="D222" s="1" t="s">
        <v>19</v>
      </c>
      <c r="E222" s="1" t="s">
        <v>14</v>
      </c>
      <c r="F222" s="1" t="s">
        <v>15</v>
      </c>
      <c r="G222" s="2">
        <v>45147</v>
      </c>
      <c r="H222" s="3">
        <v>290</v>
      </c>
      <c r="I222" s="3">
        <v>87.33</v>
      </c>
      <c r="J222" s="3">
        <v>138.27000000000001</v>
      </c>
      <c r="K222" t="str">
        <f>IF(B222="", VLOOKUP(C222, Mapping!A:B, 2, FALSE), B222)</f>
        <v>East</v>
      </c>
      <c r="L222" t="str">
        <f t="shared" si="9"/>
        <v>Food</v>
      </c>
      <c r="M222">
        <f>IF(H222="", AVERAGEIF(Dataset!D:D, D222, Dataset!H:H), H222)</f>
        <v>290</v>
      </c>
      <c r="N222">
        <f>IF(I222="", AVERAGEIF(Dataset!D:D, D222, Dataset!I:I), I222)</f>
        <v>87.33</v>
      </c>
      <c r="O222">
        <f t="shared" si="10"/>
        <v>25325.7</v>
      </c>
      <c r="P222">
        <f t="shared" si="11"/>
        <v>0</v>
      </c>
    </row>
    <row r="223" spans="1:16" ht="29.4" thickBot="1" x14ac:dyDescent="0.35">
      <c r="A223" s="1" t="s">
        <v>250</v>
      </c>
      <c r="B223" s="1"/>
      <c r="C223" s="1" t="s">
        <v>12</v>
      </c>
      <c r="D223" s="1" t="s">
        <v>42</v>
      </c>
      <c r="E223" s="1" t="s">
        <v>14</v>
      </c>
      <c r="F223" s="1" t="s">
        <v>28</v>
      </c>
      <c r="G223" s="2">
        <v>45148</v>
      </c>
      <c r="H223" s="3">
        <v>289</v>
      </c>
      <c r="I223" s="3">
        <v>310.58999999999997</v>
      </c>
      <c r="J223" s="3">
        <v>166.54</v>
      </c>
      <c r="K223" t="str">
        <f>IF(B223="", VLOOKUP(C223, Mapping!A:B, 2, FALSE), B223)</f>
        <v>East</v>
      </c>
      <c r="L223" t="str">
        <f t="shared" si="9"/>
        <v>Electronics</v>
      </c>
      <c r="M223">
        <f>IF(H223="", AVERAGEIF(Dataset!D:D, D223, Dataset!H:H), H223)</f>
        <v>289</v>
      </c>
      <c r="N223">
        <f>IF(I223="", AVERAGEIF(Dataset!D:D, D223, Dataset!I:I), I223)</f>
        <v>310.58999999999997</v>
      </c>
      <c r="O223">
        <f t="shared" si="10"/>
        <v>89760.51</v>
      </c>
      <c r="P223">
        <f t="shared" si="11"/>
        <v>41630.449999999997</v>
      </c>
    </row>
    <row r="224" spans="1:16" ht="29.4" thickBot="1" x14ac:dyDescent="0.35">
      <c r="A224" s="1" t="s">
        <v>251</v>
      </c>
      <c r="B224" s="1" t="s">
        <v>48</v>
      </c>
      <c r="C224" s="1" t="s">
        <v>18</v>
      </c>
      <c r="D224" s="1" t="s">
        <v>42</v>
      </c>
      <c r="E224" s="1" t="s">
        <v>14</v>
      </c>
      <c r="F224" s="1" t="s">
        <v>15</v>
      </c>
      <c r="G224" s="2">
        <v>45149</v>
      </c>
      <c r="H224" s="3">
        <v>21</v>
      </c>
      <c r="I224" s="3">
        <v>263.93</v>
      </c>
      <c r="J224" s="3">
        <v>303.76</v>
      </c>
      <c r="K224" t="str">
        <f>IF(B224="", VLOOKUP(C224, Mapping!A:B, 2, FALSE), B224)</f>
        <v>South</v>
      </c>
      <c r="L224" t="str">
        <f t="shared" si="9"/>
        <v>Electronics</v>
      </c>
      <c r="M224">
        <f>IF(H224="", AVERAGEIF(Dataset!D:D, D224, Dataset!H:H), H224)</f>
        <v>21</v>
      </c>
      <c r="N224">
        <f>IF(I224="", AVERAGEIF(Dataset!D:D, D224, Dataset!I:I), I224)</f>
        <v>263.93</v>
      </c>
      <c r="O224">
        <f t="shared" si="10"/>
        <v>5542.53</v>
      </c>
      <c r="P224">
        <f t="shared" si="11"/>
        <v>0</v>
      </c>
    </row>
    <row r="225" spans="1:16" ht="15" thickBot="1" x14ac:dyDescent="0.35">
      <c r="A225" s="1" t="s">
        <v>252</v>
      </c>
      <c r="B225" s="1" t="s">
        <v>17</v>
      </c>
      <c r="C225" s="1" t="s">
        <v>18</v>
      </c>
      <c r="D225" s="1" t="s">
        <v>23</v>
      </c>
      <c r="E225" s="1" t="s">
        <v>14</v>
      </c>
      <c r="F225" s="1" t="s">
        <v>15</v>
      </c>
      <c r="G225" s="2">
        <v>45150</v>
      </c>
      <c r="H225" s="3">
        <v>283</v>
      </c>
      <c r="I225" s="3">
        <v>336.7</v>
      </c>
      <c r="J225" s="3">
        <v>297.88</v>
      </c>
      <c r="K225" t="str">
        <f>IF(B225="", VLOOKUP(C225, Mapping!A:B, 2, FALSE), B225)</f>
        <v>West</v>
      </c>
      <c r="L225" t="str">
        <f t="shared" si="9"/>
        <v>Clothing</v>
      </c>
      <c r="M225">
        <f>IF(H225="", AVERAGEIF(Dataset!D:D, D225, Dataset!H:H), H225)</f>
        <v>283</v>
      </c>
      <c r="N225">
        <f>IF(I225="", AVERAGEIF(Dataset!D:D, D225, Dataset!I:I), I225)</f>
        <v>336.7</v>
      </c>
      <c r="O225">
        <f t="shared" si="10"/>
        <v>95286.099999999991</v>
      </c>
      <c r="P225">
        <f t="shared" si="11"/>
        <v>10986.059999999998</v>
      </c>
    </row>
    <row r="226" spans="1:16" ht="29.4" thickBot="1" x14ac:dyDescent="0.35">
      <c r="A226" s="1" t="s">
        <v>253</v>
      </c>
      <c r="B226" s="1" t="s">
        <v>48</v>
      </c>
      <c r="C226" s="1" t="s">
        <v>50</v>
      </c>
      <c r="D226" s="1" t="s">
        <v>13</v>
      </c>
      <c r="E226" s="1" t="s">
        <v>24</v>
      </c>
      <c r="F226" s="1" t="s">
        <v>28</v>
      </c>
      <c r="G226" s="2">
        <v>45151</v>
      </c>
      <c r="H226" s="3">
        <v>280</v>
      </c>
      <c r="I226" s="3">
        <v>465.15</v>
      </c>
      <c r="J226" s="3">
        <v>245.55</v>
      </c>
      <c r="K226" t="str">
        <f>IF(B226="", VLOOKUP(C226, Mapping!A:B, 2, FALSE), B226)</f>
        <v>South</v>
      </c>
      <c r="L226" t="str">
        <f t="shared" si="9"/>
        <v>Beverages</v>
      </c>
      <c r="M226">
        <f>IF(H226="", AVERAGEIF(Dataset!D:D, D226, Dataset!H:H), H226)</f>
        <v>280</v>
      </c>
      <c r="N226">
        <f>IF(I226="", AVERAGEIF(Dataset!D:D, D226, Dataset!I:I), I226)</f>
        <v>465.15</v>
      </c>
      <c r="O226">
        <f t="shared" si="10"/>
        <v>130242</v>
      </c>
      <c r="P226">
        <f t="shared" si="11"/>
        <v>61487.999999999993</v>
      </c>
    </row>
    <row r="227" spans="1:16" ht="15" thickBot="1" x14ac:dyDescent="0.35">
      <c r="A227" s="1" t="s">
        <v>254</v>
      </c>
      <c r="B227" s="1" t="s">
        <v>48</v>
      </c>
      <c r="C227" s="1" t="s">
        <v>31</v>
      </c>
      <c r="D227" s="1" t="s">
        <v>19</v>
      </c>
      <c r="E227" s="1" t="s">
        <v>24</v>
      </c>
      <c r="F227" s="1" t="s">
        <v>15</v>
      </c>
      <c r="G227" s="2">
        <v>45152</v>
      </c>
      <c r="H227" s="3">
        <v>217</v>
      </c>
      <c r="I227" s="3">
        <v>268.47000000000003</v>
      </c>
      <c r="J227" s="3">
        <v>44.16</v>
      </c>
      <c r="K227" t="str">
        <f>IF(B227="", VLOOKUP(C227, Mapping!A:B, 2, FALSE), B227)</f>
        <v>South</v>
      </c>
      <c r="L227" t="str">
        <f t="shared" si="9"/>
        <v>Food</v>
      </c>
      <c r="M227">
        <f>IF(H227="", AVERAGEIF(Dataset!D:D, D227, Dataset!H:H), H227)</f>
        <v>217</v>
      </c>
      <c r="N227">
        <f>IF(I227="", AVERAGEIF(Dataset!D:D, D227, Dataset!I:I), I227)</f>
        <v>268.47000000000003</v>
      </c>
      <c r="O227">
        <f t="shared" si="10"/>
        <v>58257.990000000005</v>
      </c>
      <c r="P227">
        <f t="shared" si="11"/>
        <v>48675.270000000004</v>
      </c>
    </row>
    <row r="228" spans="1:16" ht="15" thickBot="1" x14ac:dyDescent="0.35">
      <c r="A228" s="1" t="s">
        <v>255</v>
      </c>
      <c r="B228" s="1" t="s">
        <v>22</v>
      </c>
      <c r="C228" s="1" t="s">
        <v>31</v>
      </c>
      <c r="D228" s="1" t="s">
        <v>27</v>
      </c>
      <c r="E228" s="1" t="s">
        <v>24</v>
      </c>
      <c r="F228" s="1" t="s">
        <v>15</v>
      </c>
      <c r="G228" s="2">
        <v>45153</v>
      </c>
      <c r="H228" s="3">
        <v>36</v>
      </c>
      <c r="I228" s="3">
        <v>292.56</v>
      </c>
      <c r="J228" s="3">
        <v>62.32</v>
      </c>
      <c r="K228" t="str">
        <f>IF(B228="", VLOOKUP(C228, Mapping!A:B, 2, FALSE), B228)</f>
        <v>North</v>
      </c>
      <c r="L228" t="str">
        <f t="shared" si="9"/>
        <v>Furniture</v>
      </c>
      <c r="M228">
        <f>IF(H228="", AVERAGEIF(Dataset!D:D, D228, Dataset!H:H), H228)</f>
        <v>36</v>
      </c>
      <c r="N228">
        <f>IF(I228="", AVERAGEIF(Dataset!D:D, D228, Dataset!I:I), I228)</f>
        <v>292.56</v>
      </c>
      <c r="O228">
        <f t="shared" si="10"/>
        <v>10532.16</v>
      </c>
      <c r="P228">
        <f t="shared" si="11"/>
        <v>8288.64</v>
      </c>
    </row>
    <row r="229" spans="1:16" ht="15" thickBot="1" x14ac:dyDescent="0.35">
      <c r="A229" s="1" t="s">
        <v>256</v>
      </c>
      <c r="B229" s="1" t="s">
        <v>48</v>
      </c>
      <c r="C229" s="1" t="s">
        <v>50</v>
      </c>
      <c r="D229" s="1" t="s">
        <v>19</v>
      </c>
      <c r="E229" s="1" t="s">
        <v>24</v>
      </c>
      <c r="F229" s="1" t="s">
        <v>28</v>
      </c>
      <c r="G229" s="2">
        <v>45154</v>
      </c>
      <c r="H229" s="1"/>
      <c r="I229" s="3">
        <v>49.37</v>
      </c>
      <c r="J229" s="3">
        <v>39.32</v>
      </c>
      <c r="K229" t="str">
        <f>IF(B229="", VLOOKUP(C229, Mapping!A:B, 2, FALSE), B229)</f>
        <v>South</v>
      </c>
      <c r="L229" t="str">
        <f t="shared" si="9"/>
        <v>Food</v>
      </c>
      <c r="M229">
        <f>IF(H229="", AVERAGEIF(Dataset!D:D, D229, Dataset!H:H), H229)</f>
        <v>266.39655172413791</v>
      </c>
      <c r="N229">
        <f>IF(I229="", AVERAGEIF(Dataset!D:D, D229, Dataset!I:I), I229)</f>
        <v>49.37</v>
      </c>
      <c r="O229" t="str">
        <f t="shared" si="10"/>
        <v/>
      </c>
      <c r="P229">
        <f t="shared" si="11"/>
        <v>0</v>
      </c>
    </row>
    <row r="230" spans="1:16" ht="15" thickBot="1" x14ac:dyDescent="0.35">
      <c r="A230" s="1" t="s">
        <v>257</v>
      </c>
      <c r="B230" s="1" t="s">
        <v>22</v>
      </c>
      <c r="C230" s="1" t="s">
        <v>12</v>
      </c>
      <c r="D230" s="1" t="s">
        <v>27</v>
      </c>
      <c r="E230" s="1" t="s">
        <v>14</v>
      </c>
      <c r="F230" s="1" t="s">
        <v>28</v>
      </c>
      <c r="G230" s="2">
        <v>45155</v>
      </c>
      <c r="H230" s="3">
        <v>69</v>
      </c>
      <c r="I230" s="3">
        <v>360.23</v>
      </c>
      <c r="J230" s="3">
        <v>231.71</v>
      </c>
      <c r="K230" t="str">
        <f>IF(B230="", VLOOKUP(C230, Mapping!A:B, 2, FALSE), B230)</f>
        <v>North</v>
      </c>
      <c r="L230" t="str">
        <f t="shared" si="9"/>
        <v>Furniture</v>
      </c>
      <c r="M230">
        <f>IF(H230="", AVERAGEIF(Dataset!D:D, D230, Dataset!H:H), H230)</f>
        <v>69</v>
      </c>
      <c r="N230">
        <f>IF(I230="", AVERAGEIF(Dataset!D:D, D230, Dataset!I:I), I230)</f>
        <v>360.23</v>
      </c>
      <c r="O230">
        <f t="shared" si="10"/>
        <v>24855.870000000003</v>
      </c>
      <c r="P230">
        <f t="shared" si="11"/>
        <v>8867.880000000001</v>
      </c>
    </row>
    <row r="231" spans="1:16" ht="29.4" thickBot="1" x14ac:dyDescent="0.35">
      <c r="A231" s="1" t="s">
        <v>258</v>
      </c>
      <c r="B231" s="1" t="s">
        <v>22</v>
      </c>
      <c r="C231" s="1" t="s">
        <v>31</v>
      </c>
      <c r="D231" s="1" t="s">
        <v>13</v>
      </c>
      <c r="E231" s="1" t="s">
        <v>14</v>
      </c>
      <c r="F231" s="1" t="s">
        <v>28</v>
      </c>
      <c r="G231" s="2">
        <v>45156</v>
      </c>
      <c r="H231" s="3">
        <v>439</v>
      </c>
      <c r="I231" s="3">
        <v>202.95</v>
      </c>
      <c r="J231" s="3">
        <v>351.1</v>
      </c>
      <c r="K231" t="str">
        <f>IF(B231="", VLOOKUP(C231, Mapping!A:B, 2, FALSE), B231)</f>
        <v>North</v>
      </c>
      <c r="L231" t="str">
        <f t="shared" si="9"/>
        <v>Beverages</v>
      </c>
      <c r="M231">
        <f>IF(H231="", AVERAGEIF(Dataset!D:D, D231, Dataset!H:H), H231)</f>
        <v>439</v>
      </c>
      <c r="N231">
        <f>IF(I231="", AVERAGEIF(Dataset!D:D, D231, Dataset!I:I), I231)</f>
        <v>202.95</v>
      </c>
      <c r="O231">
        <f t="shared" si="10"/>
        <v>89095.049999999988</v>
      </c>
      <c r="P231">
        <f t="shared" si="11"/>
        <v>0</v>
      </c>
    </row>
    <row r="232" spans="1:16" ht="15" thickBot="1" x14ac:dyDescent="0.35">
      <c r="A232" s="1" t="s">
        <v>259</v>
      </c>
      <c r="B232" s="1" t="s">
        <v>48</v>
      </c>
      <c r="C232" s="1" t="s">
        <v>18</v>
      </c>
      <c r="D232" s="1" t="s">
        <v>27</v>
      </c>
      <c r="E232" s="1" t="s">
        <v>14</v>
      </c>
      <c r="F232" s="1" t="s">
        <v>20</v>
      </c>
      <c r="G232" s="2">
        <v>45157</v>
      </c>
      <c r="H232" s="3">
        <v>482</v>
      </c>
      <c r="I232" s="3">
        <v>488.48</v>
      </c>
      <c r="J232" s="3">
        <v>174.65</v>
      </c>
      <c r="K232" t="str">
        <f>IF(B232="", VLOOKUP(C232, Mapping!A:B, 2, FALSE), B232)</f>
        <v>South</v>
      </c>
      <c r="L232" t="str">
        <f t="shared" si="9"/>
        <v>Furniture</v>
      </c>
      <c r="M232">
        <f>IF(H232="", AVERAGEIF(Dataset!D:D, D232, Dataset!H:H), H232)</f>
        <v>482</v>
      </c>
      <c r="N232">
        <f>IF(I232="", AVERAGEIF(Dataset!D:D, D232, Dataset!I:I), I232)</f>
        <v>488.48</v>
      </c>
      <c r="O232">
        <f t="shared" si="10"/>
        <v>235447.36000000002</v>
      </c>
      <c r="P232">
        <f t="shared" si="11"/>
        <v>151266.06000000003</v>
      </c>
    </row>
    <row r="233" spans="1:16" ht="15" thickBot="1" x14ac:dyDescent="0.35">
      <c r="A233" s="1" t="s">
        <v>260</v>
      </c>
      <c r="B233" s="1" t="s">
        <v>17</v>
      </c>
      <c r="C233" s="1" t="s">
        <v>18</v>
      </c>
      <c r="D233" s="1" t="s">
        <v>23</v>
      </c>
      <c r="E233" s="1" t="s">
        <v>14</v>
      </c>
      <c r="F233" s="1" t="s">
        <v>20</v>
      </c>
      <c r="G233" s="2">
        <v>45158</v>
      </c>
      <c r="H233" s="3">
        <v>154</v>
      </c>
      <c r="I233" s="3">
        <v>412.47</v>
      </c>
      <c r="J233" s="3">
        <v>66.02</v>
      </c>
      <c r="K233" t="str">
        <f>IF(B233="", VLOOKUP(C233, Mapping!A:B, 2, FALSE), B233)</f>
        <v>West</v>
      </c>
      <c r="L233" t="str">
        <f t="shared" si="9"/>
        <v>Clothing</v>
      </c>
      <c r="M233">
        <f>IF(H233="", AVERAGEIF(Dataset!D:D, D233, Dataset!H:H), H233)</f>
        <v>154</v>
      </c>
      <c r="N233">
        <f>IF(I233="", AVERAGEIF(Dataset!D:D, D233, Dataset!I:I), I233)</f>
        <v>412.47</v>
      </c>
      <c r="O233">
        <f t="shared" si="10"/>
        <v>63520.380000000005</v>
      </c>
      <c r="P233">
        <f t="shared" si="11"/>
        <v>53353.30000000001</v>
      </c>
    </row>
    <row r="234" spans="1:16" ht="15" thickBot="1" x14ac:dyDescent="0.35">
      <c r="A234" s="1" t="s">
        <v>261</v>
      </c>
      <c r="B234" s="1" t="s">
        <v>17</v>
      </c>
      <c r="C234" s="1" t="s">
        <v>26</v>
      </c>
      <c r="D234" s="1" t="s">
        <v>23</v>
      </c>
      <c r="E234" s="1" t="s">
        <v>24</v>
      </c>
      <c r="F234" s="1" t="s">
        <v>28</v>
      </c>
      <c r="G234" s="2">
        <v>45159</v>
      </c>
      <c r="H234" s="3">
        <v>102</v>
      </c>
      <c r="I234" s="3">
        <v>263.63</v>
      </c>
      <c r="J234" s="3">
        <v>224.1</v>
      </c>
      <c r="K234" t="str">
        <f>IF(B234="", VLOOKUP(C234, Mapping!A:B, 2, FALSE), B234)</f>
        <v>West</v>
      </c>
      <c r="L234" t="str">
        <f t="shared" si="9"/>
        <v>Clothing</v>
      </c>
      <c r="M234">
        <f>IF(H234="", AVERAGEIF(Dataset!D:D, D234, Dataset!H:H), H234)</f>
        <v>102</v>
      </c>
      <c r="N234">
        <f>IF(I234="", AVERAGEIF(Dataset!D:D, D234, Dataset!I:I), I234)</f>
        <v>263.63</v>
      </c>
      <c r="O234">
        <f t="shared" si="10"/>
        <v>26890.26</v>
      </c>
      <c r="P234">
        <f t="shared" si="11"/>
        <v>4032.06</v>
      </c>
    </row>
    <row r="235" spans="1:16" ht="15" thickBot="1" x14ac:dyDescent="0.35">
      <c r="A235" s="1" t="s">
        <v>262</v>
      </c>
      <c r="B235" s="1" t="s">
        <v>17</v>
      </c>
      <c r="C235" s="1" t="s">
        <v>31</v>
      </c>
      <c r="D235" s="1" t="s">
        <v>23</v>
      </c>
      <c r="E235" s="1" t="s">
        <v>14</v>
      </c>
      <c r="F235" s="1" t="s">
        <v>28</v>
      </c>
      <c r="G235" s="2">
        <v>45160</v>
      </c>
      <c r="H235" s="3">
        <v>318</v>
      </c>
      <c r="I235" s="3">
        <v>66</v>
      </c>
      <c r="J235" s="3">
        <v>325.08</v>
      </c>
      <c r="K235" t="str">
        <f>IF(B235="", VLOOKUP(C235, Mapping!A:B, 2, FALSE), B235)</f>
        <v>West</v>
      </c>
      <c r="L235" t="str">
        <f t="shared" si="9"/>
        <v>Clothing</v>
      </c>
      <c r="M235">
        <f>IF(H235="", AVERAGEIF(Dataset!D:D, D235, Dataset!H:H), H235)</f>
        <v>318</v>
      </c>
      <c r="N235">
        <f>IF(I235="", AVERAGEIF(Dataset!D:D, D235, Dataset!I:I), I235)</f>
        <v>66</v>
      </c>
      <c r="O235">
        <f t="shared" si="10"/>
        <v>20988</v>
      </c>
      <c r="P235">
        <f t="shared" si="11"/>
        <v>0</v>
      </c>
    </row>
    <row r="236" spans="1:16" ht="15" thickBot="1" x14ac:dyDescent="0.35">
      <c r="A236" s="1" t="s">
        <v>263</v>
      </c>
      <c r="B236" s="1" t="s">
        <v>17</v>
      </c>
      <c r="C236" s="1" t="s">
        <v>12</v>
      </c>
      <c r="D236" s="1" t="s">
        <v>23</v>
      </c>
      <c r="E236" s="1" t="s">
        <v>14</v>
      </c>
      <c r="F236" s="1" t="s">
        <v>28</v>
      </c>
      <c r="G236" s="2">
        <v>45161</v>
      </c>
      <c r="H236" s="3">
        <v>17</v>
      </c>
      <c r="I236" s="3">
        <v>430.41</v>
      </c>
      <c r="J236" s="3">
        <v>297.2</v>
      </c>
      <c r="K236" t="str">
        <f>IF(B236="", VLOOKUP(C236, Mapping!A:B, 2, FALSE), B236)</f>
        <v>West</v>
      </c>
      <c r="L236" t="str">
        <f t="shared" si="9"/>
        <v>Clothing</v>
      </c>
      <c r="M236">
        <f>IF(H236="", AVERAGEIF(Dataset!D:D, D236, Dataset!H:H), H236)</f>
        <v>17</v>
      </c>
      <c r="N236">
        <f>IF(I236="", AVERAGEIF(Dataset!D:D, D236, Dataset!I:I), I236)</f>
        <v>430.41</v>
      </c>
      <c r="O236">
        <f t="shared" si="10"/>
        <v>7316.97</v>
      </c>
      <c r="P236">
        <f t="shared" si="11"/>
        <v>2264.5700000000006</v>
      </c>
    </row>
    <row r="237" spans="1:16" ht="15" thickBot="1" x14ac:dyDescent="0.35">
      <c r="A237" s="1" t="s">
        <v>264</v>
      </c>
      <c r="B237" s="1" t="s">
        <v>17</v>
      </c>
      <c r="C237" s="1" t="s">
        <v>50</v>
      </c>
      <c r="D237" s="1" t="s">
        <v>19</v>
      </c>
      <c r="E237" s="1" t="s">
        <v>24</v>
      </c>
      <c r="F237" s="1" t="s">
        <v>20</v>
      </c>
      <c r="G237" s="2">
        <v>45162</v>
      </c>
      <c r="H237" s="3">
        <v>88</v>
      </c>
      <c r="I237" s="3">
        <v>400.89</v>
      </c>
      <c r="J237" s="3">
        <v>352.82</v>
      </c>
      <c r="K237" t="str">
        <f>IF(B237="", VLOOKUP(C237, Mapping!A:B, 2, FALSE), B237)</f>
        <v>West</v>
      </c>
      <c r="L237" t="str">
        <f t="shared" si="9"/>
        <v>Food</v>
      </c>
      <c r="M237">
        <f>IF(H237="", AVERAGEIF(Dataset!D:D, D237, Dataset!H:H), H237)</f>
        <v>88</v>
      </c>
      <c r="N237">
        <f>IF(I237="", AVERAGEIF(Dataset!D:D, D237, Dataset!I:I), I237)</f>
        <v>400.89</v>
      </c>
      <c r="O237">
        <f t="shared" si="10"/>
        <v>35278.32</v>
      </c>
      <c r="P237">
        <f t="shared" si="11"/>
        <v>4230.16</v>
      </c>
    </row>
    <row r="238" spans="1:16" ht="29.4" thickBot="1" x14ac:dyDescent="0.35">
      <c r="A238" s="1" t="s">
        <v>265</v>
      </c>
      <c r="B238" s="1" t="s">
        <v>48</v>
      </c>
      <c r="C238" s="1" t="s">
        <v>50</v>
      </c>
      <c r="D238" s="1" t="s">
        <v>13</v>
      </c>
      <c r="E238" s="1" t="s">
        <v>24</v>
      </c>
      <c r="F238" s="1" t="s">
        <v>20</v>
      </c>
      <c r="G238" s="2">
        <v>45163</v>
      </c>
      <c r="H238" s="3">
        <v>36</v>
      </c>
      <c r="I238" s="3">
        <v>96.37</v>
      </c>
      <c r="J238" s="3">
        <v>112.61</v>
      </c>
      <c r="K238" t="str">
        <f>IF(B238="", VLOOKUP(C238, Mapping!A:B, 2, FALSE), B238)</f>
        <v>South</v>
      </c>
      <c r="L238" t="str">
        <f t="shared" si="9"/>
        <v>Beverages</v>
      </c>
      <c r="M238">
        <f>IF(H238="", AVERAGEIF(Dataset!D:D, D238, Dataset!H:H), H238)</f>
        <v>36</v>
      </c>
      <c r="N238">
        <f>IF(I238="", AVERAGEIF(Dataset!D:D, D238, Dataset!I:I), I238)</f>
        <v>96.37</v>
      </c>
      <c r="O238">
        <f t="shared" si="10"/>
        <v>3469.32</v>
      </c>
      <c r="P238">
        <f t="shared" si="11"/>
        <v>0</v>
      </c>
    </row>
    <row r="239" spans="1:16" ht="15" thickBot="1" x14ac:dyDescent="0.35">
      <c r="A239" s="1" t="s">
        <v>266</v>
      </c>
      <c r="B239" s="1" t="s">
        <v>48</v>
      </c>
      <c r="C239" s="1" t="s">
        <v>12</v>
      </c>
      <c r="D239" s="1" t="s">
        <v>27</v>
      </c>
      <c r="E239" s="1" t="s">
        <v>24</v>
      </c>
      <c r="F239" s="1" t="s">
        <v>15</v>
      </c>
      <c r="G239" s="2">
        <v>45164</v>
      </c>
      <c r="H239" s="3">
        <v>183</v>
      </c>
      <c r="I239" s="3">
        <v>151.16</v>
      </c>
      <c r="J239" s="3">
        <v>79.19</v>
      </c>
      <c r="K239" t="str">
        <f>IF(B239="", VLOOKUP(C239, Mapping!A:B, 2, FALSE), B239)</f>
        <v>South</v>
      </c>
      <c r="L239" t="str">
        <f t="shared" si="9"/>
        <v>Furniture</v>
      </c>
      <c r="M239">
        <f>IF(H239="", AVERAGEIF(Dataset!D:D, D239, Dataset!H:H), H239)</f>
        <v>183</v>
      </c>
      <c r="N239">
        <f>IF(I239="", AVERAGEIF(Dataset!D:D, D239, Dataset!I:I), I239)</f>
        <v>151.16</v>
      </c>
      <c r="O239">
        <f t="shared" si="10"/>
        <v>27662.28</v>
      </c>
      <c r="P239">
        <f t="shared" si="11"/>
        <v>13170.51</v>
      </c>
    </row>
    <row r="240" spans="1:16" ht="15" thickBot="1" x14ac:dyDescent="0.35">
      <c r="A240" s="1" t="s">
        <v>267</v>
      </c>
      <c r="B240" s="1" t="s">
        <v>11</v>
      </c>
      <c r="C240" s="1" t="s">
        <v>26</v>
      </c>
      <c r="D240" s="1" t="s">
        <v>27</v>
      </c>
      <c r="E240" s="1" t="s">
        <v>24</v>
      </c>
      <c r="F240" s="1" t="s">
        <v>15</v>
      </c>
      <c r="G240" s="2">
        <v>45165</v>
      </c>
      <c r="H240" s="3">
        <v>59</v>
      </c>
      <c r="I240" s="3">
        <v>397.74</v>
      </c>
      <c r="J240" s="3">
        <v>352.17</v>
      </c>
      <c r="K240" t="str">
        <f>IF(B240="", VLOOKUP(C240, Mapping!A:B, 2, FALSE), B240)</f>
        <v>East</v>
      </c>
      <c r="L240" t="str">
        <f t="shared" si="9"/>
        <v>Furniture</v>
      </c>
      <c r="M240">
        <f>IF(H240="", AVERAGEIF(Dataset!D:D, D240, Dataset!H:H), H240)</f>
        <v>59</v>
      </c>
      <c r="N240">
        <f>IF(I240="", AVERAGEIF(Dataset!D:D, D240, Dataset!I:I), I240)</f>
        <v>397.74</v>
      </c>
      <c r="O240">
        <f t="shared" si="10"/>
        <v>23466.66</v>
      </c>
      <c r="P240">
        <f t="shared" si="11"/>
        <v>2688.6299999999997</v>
      </c>
    </row>
    <row r="241" spans="1:16" ht="15" thickBot="1" x14ac:dyDescent="0.35">
      <c r="A241" s="1" t="s">
        <v>268</v>
      </c>
      <c r="B241" s="1" t="s">
        <v>17</v>
      </c>
      <c r="C241" s="1" t="s">
        <v>50</v>
      </c>
      <c r="D241" s="1" t="s">
        <v>23</v>
      </c>
      <c r="E241" s="1" t="s">
        <v>14</v>
      </c>
      <c r="F241" s="1" t="s">
        <v>28</v>
      </c>
      <c r="G241" s="2">
        <v>45166</v>
      </c>
      <c r="H241" s="3">
        <v>208</v>
      </c>
      <c r="I241" s="3">
        <v>96.69</v>
      </c>
      <c r="J241" s="3">
        <v>263.70999999999998</v>
      </c>
      <c r="K241" t="str">
        <f>IF(B241="", VLOOKUP(C241, Mapping!A:B, 2, FALSE), B241)</f>
        <v>West</v>
      </c>
      <c r="L241" t="str">
        <f t="shared" si="9"/>
        <v>Clothing</v>
      </c>
      <c r="M241">
        <f>IF(H241="", AVERAGEIF(Dataset!D:D, D241, Dataset!H:H), H241)</f>
        <v>208</v>
      </c>
      <c r="N241">
        <f>IF(I241="", AVERAGEIF(Dataset!D:D, D241, Dataset!I:I), I241)</f>
        <v>96.69</v>
      </c>
      <c r="O241">
        <f t="shared" si="10"/>
        <v>20111.52</v>
      </c>
      <c r="P241">
        <f t="shared" si="11"/>
        <v>0</v>
      </c>
    </row>
    <row r="242" spans="1:16" ht="15" thickBot="1" x14ac:dyDescent="0.35">
      <c r="A242" s="1" t="s">
        <v>269</v>
      </c>
      <c r="B242" s="1" t="s">
        <v>48</v>
      </c>
      <c r="C242" s="1" t="s">
        <v>31</v>
      </c>
      <c r="D242" s="1" t="s">
        <v>23</v>
      </c>
      <c r="E242" s="1" t="s">
        <v>14</v>
      </c>
      <c r="F242" s="1" t="s">
        <v>20</v>
      </c>
      <c r="G242" s="2">
        <v>45167</v>
      </c>
      <c r="H242" s="3">
        <v>396</v>
      </c>
      <c r="I242" s="3">
        <v>459.29</v>
      </c>
      <c r="J242" s="3">
        <v>125.75</v>
      </c>
      <c r="K242" t="str">
        <f>IF(B242="", VLOOKUP(C242, Mapping!A:B, 2, FALSE), B242)</f>
        <v>South</v>
      </c>
      <c r="L242" t="str">
        <f t="shared" si="9"/>
        <v>Clothing</v>
      </c>
      <c r="M242">
        <f>IF(H242="", AVERAGEIF(Dataset!D:D, D242, Dataset!H:H), H242)</f>
        <v>396</v>
      </c>
      <c r="N242">
        <f>IF(I242="", AVERAGEIF(Dataset!D:D, D242, Dataset!I:I), I242)</f>
        <v>459.29</v>
      </c>
      <c r="O242">
        <f t="shared" si="10"/>
        <v>181878.84</v>
      </c>
      <c r="P242">
        <f t="shared" si="11"/>
        <v>132081.84</v>
      </c>
    </row>
    <row r="243" spans="1:16" ht="29.4" thickBot="1" x14ac:dyDescent="0.35">
      <c r="A243" s="1" t="s">
        <v>270</v>
      </c>
      <c r="B243" s="1" t="s">
        <v>11</v>
      </c>
      <c r="C243" s="1" t="s">
        <v>26</v>
      </c>
      <c r="D243" s="1" t="s">
        <v>42</v>
      </c>
      <c r="E243" s="1" t="s">
        <v>24</v>
      </c>
      <c r="F243" s="1" t="s">
        <v>20</v>
      </c>
      <c r="G243" s="2">
        <v>45168</v>
      </c>
      <c r="H243" s="3">
        <v>358</v>
      </c>
      <c r="I243" s="3">
        <v>215.14</v>
      </c>
      <c r="J243" s="3">
        <v>297.45</v>
      </c>
      <c r="K243" t="str">
        <f>IF(B243="", VLOOKUP(C243, Mapping!A:B, 2, FALSE), B243)</f>
        <v>East</v>
      </c>
      <c r="L243" t="str">
        <f t="shared" si="9"/>
        <v>Electronics</v>
      </c>
      <c r="M243">
        <f>IF(H243="", AVERAGEIF(Dataset!D:D, D243, Dataset!H:H), H243)</f>
        <v>358</v>
      </c>
      <c r="N243">
        <f>IF(I243="", AVERAGEIF(Dataset!D:D, D243, Dataset!I:I), I243)</f>
        <v>215.14</v>
      </c>
      <c r="O243">
        <f t="shared" si="10"/>
        <v>77020.12</v>
      </c>
      <c r="P243">
        <f t="shared" si="11"/>
        <v>0</v>
      </c>
    </row>
    <row r="244" spans="1:16" ht="29.4" thickBot="1" x14ac:dyDescent="0.35">
      <c r="A244" s="1" t="s">
        <v>271</v>
      </c>
      <c r="B244" s="1" t="s">
        <v>17</v>
      </c>
      <c r="C244" s="1" t="s">
        <v>31</v>
      </c>
      <c r="D244" s="1" t="s">
        <v>13</v>
      </c>
      <c r="E244" s="1" t="s">
        <v>14</v>
      </c>
      <c r="F244" s="1" t="s">
        <v>20</v>
      </c>
      <c r="G244" s="2">
        <v>45169</v>
      </c>
      <c r="H244" s="3">
        <v>457</v>
      </c>
      <c r="I244" s="3">
        <v>48.08</v>
      </c>
      <c r="J244" s="3">
        <v>326.42</v>
      </c>
      <c r="K244" t="str">
        <f>IF(B244="", VLOOKUP(C244, Mapping!A:B, 2, FALSE), B244)</f>
        <v>West</v>
      </c>
      <c r="L244" t="str">
        <f t="shared" si="9"/>
        <v>Beverages</v>
      </c>
      <c r="M244">
        <f>IF(H244="", AVERAGEIF(Dataset!D:D, D244, Dataset!H:H), H244)</f>
        <v>457</v>
      </c>
      <c r="N244">
        <f>IF(I244="", AVERAGEIF(Dataset!D:D, D244, Dataset!I:I), I244)</f>
        <v>48.08</v>
      </c>
      <c r="O244">
        <f t="shared" si="10"/>
        <v>21972.559999999998</v>
      </c>
      <c r="P244">
        <f t="shared" si="11"/>
        <v>0</v>
      </c>
    </row>
    <row r="245" spans="1:16" ht="15" thickBot="1" x14ac:dyDescent="0.35">
      <c r="A245" s="1" t="s">
        <v>272</v>
      </c>
      <c r="B245" s="1" t="s">
        <v>22</v>
      </c>
      <c r="C245" s="1" t="s">
        <v>18</v>
      </c>
      <c r="D245" s="1" t="s">
        <v>19</v>
      </c>
      <c r="E245" s="1" t="s">
        <v>14</v>
      </c>
      <c r="F245" s="1" t="s">
        <v>28</v>
      </c>
      <c r="G245" s="2">
        <v>45170</v>
      </c>
      <c r="H245" s="3">
        <v>437</v>
      </c>
      <c r="I245" s="3">
        <v>408.8</v>
      </c>
      <c r="J245" s="3">
        <v>246.76</v>
      </c>
      <c r="K245" t="str">
        <f>IF(B245="", VLOOKUP(C245, Mapping!A:B, 2, FALSE), B245)</f>
        <v>North</v>
      </c>
      <c r="L245" t="str">
        <f t="shared" si="9"/>
        <v>Food</v>
      </c>
      <c r="M245">
        <f>IF(H245="", AVERAGEIF(Dataset!D:D, D245, Dataset!H:H), H245)</f>
        <v>437</v>
      </c>
      <c r="N245">
        <f>IF(I245="", AVERAGEIF(Dataset!D:D, D245, Dataset!I:I), I245)</f>
        <v>408.8</v>
      </c>
      <c r="O245">
        <f t="shared" si="10"/>
        <v>178645.6</v>
      </c>
      <c r="P245">
        <f t="shared" si="11"/>
        <v>70811.48000000001</v>
      </c>
    </row>
    <row r="246" spans="1:16" ht="15" thickBot="1" x14ac:dyDescent="0.35">
      <c r="A246" s="1" t="s">
        <v>273</v>
      </c>
      <c r="B246" s="1" t="s">
        <v>11</v>
      </c>
      <c r="C246" s="1" t="s">
        <v>26</v>
      </c>
      <c r="D246" s="1" t="s">
        <v>27</v>
      </c>
      <c r="E246" s="1" t="s">
        <v>14</v>
      </c>
      <c r="F246" s="1" t="s">
        <v>15</v>
      </c>
      <c r="G246" s="2">
        <v>45171</v>
      </c>
      <c r="H246" s="3">
        <v>190</v>
      </c>
      <c r="I246" s="3">
        <v>189.89</v>
      </c>
      <c r="J246" s="3">
        <v>275.77999999999997</v>
      </c>
      <c r="K246" t="str">
        <f>IF(B246="", VLOOKUP(C246, Mapping!A:B, 2, FALSE), B246)</f>
        <v>East</v>
      </c>
      <c r="L246" t="str">
        <f t="shared" si="9"/>
        <v>Furniture</v>
      </c>
      <c r="M246">
        <f>IF(H246="", AVERAGEIF(Dataset!D:D, D246, Dataset!H:H), H246)</f>
        <v>190</v>
      </c>
      <c r="N246">
        <f>IF(I246="", AVERAGEIF(Dataset!D:D, D246, Dataset!I:I), I246)</f>
        <v>189.89</v>
      </c>
      <c r="O246">
        <f t="shared" si="10"/>
        <v>36079.1</v>
      </c>
      <c r="P246">
        <f t="shared" si="11"/>
        <v>0</v>
      </c>
    </row>
    <row r="247" spans="1:16" ht="29.4" thickBot="1" x14ac:dyDescent="0.35">
      <c r="A247" s="1" t="s">
        <v>274</v>
      </c>
      <c r="B247" s="1" t="s">
        <v>48</v>
      </c>
      <c r="C247" s="1" t="s">
        <v>50</v>
      </c>
      <c r="D247" s="1" t="s">
        <v>42</v>
      </c>
      <c r="E247" s="1" t="s">
        <v>24</v>
      </c>
      <c r="F247" s="1" t="s">
        <v>28</v>
      </c>
      <c r="G247" s="2">
        <v>45172</v>
      </c>
      <c r="H247" s="3">
        <v>33</v>
      </c>
      <c r="I247" s="3">
        <v>265.62</v>
      </c>
      <c r="J247" s="3">
        <v>151.35</v>
      </c>
      <c r="K247" t="str">
        <f>IF(B247="", VLOOKUP(C247, Mapping!A:B, 2, FALSE), B247)</f>
        <v>South</v>
      </c>
      <c r="L247" t="str">
        <f t="shared" si="9"/>
        <v>Electronics</v>
      </c>
      <c r="M247">
        <f>IF(H247="", AVERAGEIF(Dataset!D:D, D247, Dataset!H:H), H247)</f>
        <v>33</v>
      </c>
      <c r="N247">
        <f>IF(I247="", AVERAGEIF(Dataset!D:D, D247, Dataset!I:I), I247)</f>
        <v>265.62</v>
      </c>
      <c r="O247">
        <f t="shared" si="10"/>
        <v>8765.4600000000009</v>
      </c>
      <c r="P247">
        <f t="shared" si="11"/>
        <v>3770.9100000000003</v>
      </c>
    </row>
    <row r="248" spans="1:16" ht="29.4" thickBot="1" x14ac:dyDescent="0.35">
      <c r="A248" s="1" t="s">
        <v>275</v>
      </c>
      <c r="B248" s="1" t="s">
        <v>22</v>
      </c>
      <c r="C248" s="1" t="s">
        <v>26</v>
      </c>
      <c r="D248" s="1" t="s">
        <v>42</v>
      </c>
      <c r="E248" s="1" t="s">
        <v>14</v>
      </c>
      <c r="F248" s="1" t="s">
        <v>15</v>
      </c>
      <c r="G248" s="2">
        <v>45173</v>
      </c>
      <c r="H248" s="3">
        <v>325</v>
      </c>
      <c r="I248" s="3">
        <v>60.59</v>
      </c>
      <c r="J248" s="3">
        <v>216.4</v>
      </c>
      <c r="K248" t="str">
        <f>IF(B248="", VLOOKUP(C248, Mapping!A:B, 2, FALSE), B248)</f>
        <v>North</v>
      </c>
      <c r="L248" t="str">
        <f t="shared" si="9"/>
        <v>Electronics</v>
      </c>
      <c r="M248">
        <f>IF(H248="", AVERAGEIF(Dataset!D:D, D248, Dataset!H:H), H248)</f>
        <v>325</v>
      </c>
      <c r="N248">
        <f>IF(I248="", AVERAGEIF(Dataset!D:D, D248, Dataset!I:I), I248)</f>
        <v>60.59</v>
      </c>
      <c r="O248">
        <f t="shared" si="10"/>
        <v>19691.75</v>
      </c>
      <c r="P248">
        <f t="shared" si="11"/>
        <v>0</v>
      </c>
    </row>
    <row r="249" spans="1:16" ht="15" thickBot="1" x14ac:dyDescent="0.35">
      <c r="A249" s="1" t="s">
        <v>276</v>
      </c>
      <c r="B249" s="1" t="s">
        <v>22</v>
      </c>
      <c r="C249" s="1" t="s">
        <v>26</v>
      </c>
      <c r="D249" s="1" t="s">
        <v>27</v>
      </c>
      <c r="E249" s="1" t="s">
        <v>24</v>
      </c>
      <c r="F249" s="1" t="s">
        <v>15</v>
      </c>
      <c r="G249" s="2">
        <v>45174</v>
      </c>
      <c r="H249" s="3">
        <v>387</v>
      </c>
      <c r="I249" s="3">
        <v>6.28</v>
      </c>
      <c r="J249" s="3">
        <v>210.62</v>
      </c>
      <c r="K249" t="str">
        <f>IF(B249="", VLOOKUP(C249, Mapping!A:B, 2, FALSE), B249)</f>
        <v>North</v>
      </c>
      <c r="L249" t="str">
        <f t="shared" si="9"/>
        <v>Furniture</v>
      </c>
      <c r="M249">
        <f>IF(H249="", AVERAGEIF(Dataset!D:D, D249, Dataset!H:H), H249)</f>
        <v>387</v>
      </c>
      <c r="N249">
        <f>IF(I249="", AVERAGEIF(Dataset!D:D, D249, Dataset!I:I), I249)</f>
        <v>6.28</v>
      </c>
      <c r="O249">
        <f t="shared" si="10"/>
        <v>2430.36</v>
      </c>
      <c r="P249">
        <f t="shared" si="11"/>
        <v>0</v>
      </c>
    </row>
    <row r="250" spans="1:16" ht="15" thickBot="1" x14ac:dyDescent="0.35">
      <c r="A250" s="1" t="s">
        <v>277</v>
      </c>
      <c r="B250" s="1" t="s">
        <v>22</v>
      </c>
      <c r="C250" s="1" t="s">
        <v>26</v>
      </c>
      <c r="D250" s="1" t="s">
        <v>19</v>
      </c>
      <c r="E250" s="1" t="s">
        <v>14</v>
      </c>
      <c r="F250" s="1" t="s">
        <v>28</v>
      </c>
      <c r="G250" s="2">
        <v>45175</v>
      </c>
      <c r="H250" s="3">
        <v>396</v>
      </c>
      <c r="I250" s="3">
        <v>320.8</v>
      </c>
      <c r="J250" s="3">
        <v>339.52</v>
      </c>
      <c r="K250" t="str">
        <f>IF(B250="", VLOOKUP(C250, Mapping!A:B, 2, FALSE), B250)</f>
        <v>North</v>
      </c>
      <c r="L250" t="str">
        <f t="shared" si="9"/>
        <v>Food</v>
      </c>
      <c r="M250">
        <f>IF(H250="", AVERAGEIF(Dataset!D:D, D250, Dataset!H:H), H250)</f>
        <v>396</v>
      </c>
      <c r="N250">
        <f>IF(I250="", AVERAGEIF(Dataset!D:D, D250, Dataset!I:I), I250)</f>
        <v>320.8</v>
      </c>
      <c r="O250">
        <f t="shared" si="10"/>
        <v>127036.8</v>
      </c>
      <c r="P250">
        <f t="shared" si="11"/>
        <v>0</v>
      </c>
    </row>
    <row r="251" spans="1:16" ht="29.4" thickBot="1" x14ac:dyDescent="0.35">
      <c r="A251" s="1" t="s">
        <v>278</v>
      </c>
      <c r="B251" s="1" t="s">
        <v>11</v>
      </c>
      <c r="C251" s="1" t="s">
        <v>26</v>
      </c>
      <c r="D251" s="1" t="s">
        <v>42</v>
      </c>
      <c r="E251" s="1" t="s">
        <v>14</v>
      </c>
      <c r="F251" s="1" t="s">
        <v>15</v>
      </c>
      <c r="G251" s="2">
        <v>45176</v>
      </c>
      <c r="H251" s="3">
        <v>413</v>
      </c>
      <c r="I251" s="3">
        <v>260.01</v>
      </c>
      <c r="J251" s="3">
        <v>336.31</v>
      </c>
      <c r="K251" t="str">
        <f>IF(B251="", VLOOKUP(C251, Mapping!A:B, 2, FALSE), B251)</f>
        <v>East</v>
      </c>
      <c r="L251" t="str">
        <f t="shared" si="9"/>
        <v>Electronics</v>
      </c>
      <c r="M251">
        <f>IF(H251="", AVERAGEIF(Dataset!D:D, D251, Dataset!H:H), H251)</f>
        <v>413</v>
      </c>
      <c r="N251">
        <f>IF(I251="", AVERAGEIF(Dataset!D:D, D251, Dataset!I:I), I251)</f>
        <v>260.01</v>
      </c>
      <c r="O251">
        <f t="shared" si="10"/>
        <v>107384.12999999999</v>
      </c>
      <c r="P251">
        <f t="shared" si="11"/>
        <v>0</v>
      </c>
    </row>
    <row r="252" spans="1:16" ht="29.4" thickBot="1" x14ac:dyDescent="0.35">
      <c r="A252" s="1" t="s">
        <v>279</v>
      </c>
      <c r="B252" s="1" t="s">
        <v>48</v>
      </c>
      <c r="C252" s="1" t="s">
        <v>31</v>
      </c>
      <c r="D252" s="1" t="s">
        <v>42</v>
      </c>
      <c r="E252" s="1" t="s">
        <v>14</v>
      </c>
      <c r="F252" s="1" t="s">
        <v>15</v>
      </c>
      <c r="G252" s="2">
        <v>45177</v>
      </c>
      <c r="H252" s="1"/>
      <c r="I252" s="3">
        <v>298.8</v>
      </c>
      <c r="J252" s="3">
        <v>333.41</v>
      </c>
      <c r="K252" t="str">
        <f>IF(B252="", VLOOKUP(C252, Mapping!A:B, 2, FALSE), B252)</f>
        <v>South</v>
      </c>
      <c r="L252" t="str">
        <f t="shared" si="9"/>
        <v>Electronics</v>
      </c>
      <c r="M252">
        <f>IF(H252="", AVERAGEIF(Dataset!D:D, D252, Dataset!H:H), H252)</f>
        <v>253.59701492537314</v>
      </c>
      <c r="N252">
        <f>IF(I252="", AVERAGEIF(Dataset!D:D, D252, Dataset!I:I), I252)</f>
        <v>298.8</v>
      </c>
      <c r="O252" t="str">
        <f t="shared" si="10"/>
        <v/>
      </c>
      <c r="P252">
        <f t="shared" si="11"/>
        <v>0</v>
      </c>
    </row>
    <row r="253" spans="1:16" ht="29.4" thickBot="1" x14ac:dyDescent="0.35">
      <c r="A253" s="1" t="s">
        <v>280</v>
      </c>
      <c r="B253" s="1" t="s">
        <v>22</v>
      </c>
      <c r="C253" s="1" t="s">
        <v>18</v>
      </c>
      <c r="D253" s="1" t="s">
        <v>13</v>
      </c>
      <c r="E253" s="1" t="s">
        <v>24</v>
      </c>
      <c r="F253" s="1" t="s">
        <v>20</v>
      </c>
      <c r="G253" s="2">
        <v>45178</v>
      </c>
      <c r="H253" s="3">
        <v>24</v>
      </c>
      <c r="I253" s="3">
        <v>397.9</v>
      </c>
      <c r="J253" s="3">
        <v>6.39</v>
      </c>
      <c r="K253" t="str">
        <f>IF(B253="", VLOOKUP(C253, Mapping!A:B, 2, FALSE), B253)</f>
        <v>North</v>
      </c>
      <c r="L253" t="str">
        <f t="shared" si="9"/>
        <v>Beverages</v>
      </c>
      <c r="M253">
        <f>IF(H253="", AVERAGEIF(Dataset!D:D, D253, Dataset!H:H), H253)</f>
        <v>24</v>
      </c>
      <c r="N253">
        <f>IF(I253="", AVERAGEIF(Dataset!D:D, D253, Dataset!I:I), I253)</f>
        <v>397.9</v>
      </c>
      <c r="O253">
        <f t="shared" si="10"/>
        <v>9549.5999999999985</v>
      </c>
      <c r="P253">
        <f t="shared" si="11"/>
        <v>9396.24</v>
      </c>
    </row>
    <row r="254" spans="1:16" ht="15" thickBot="1" x14ac:dyDescent="0.35">
      <c r="A254" s="1" t="s">
        <v>281</v>
      </c>
      <c r="B254" s="1" t="s">
        <v>17</v>
      </c>
      <c r="C254" s="1" t="s">
        <v>12</v>
      </c>
      <c r="D254" s="1"/>
      <c r="E254" s="1" t="s">
        <v>14</v>
      </c>
      <c r="F254" s="1" t="s">
        <v>15</v>
      </c>
      <c r="G254" s="2">
        <v>45179</v>
      </c>
      <c r="H254" s="3">
        <v>162</v>
      </c>
      <c r="I254" s="3">
        <v>325.07</v>
      </c>
      <c r="J254" s="3">
        <v>300.32</v>
      </c>
      <c r="K254" t="str">
        <f>IF(B254="", VLOOKUP(C254, Mapping!A:B, 2, FALSE), B254)</f>
        <v>West</v>
      </c>
      <c r="L254" t="str">
        <f t="shared" si="9"/>
        <v>Food</v>
      </c>
      <c r="M254">
        <f>IF(H254="", AVERAGEIF(Dataset!D:D, D254, Dataset!H:H), H254)</f>
        <v>162</v>
      </c>
      <c r="N254">
        <f>IF(I254="", AVERAGEIF(Dataset!D:D, D254, Dataset!I:I), I254)</f>
        <v>325.07</v>
      </c>
      <c r="O254">
        <f t="shared" si="10"/>
        <v>52661.34</v>
      </c>
      <c r="P254">
        <f t="shared" si="11"/>
        <v>4009.5</v>
      </c>
    </row>
    <row r="255" spans="1:16" ht="29.4" thickBot="1" x14ac:dyDescent="0.35">
      <c r="A255" s="1" t="s">
        <v>282</v>
      </c>
      <c r="B255" s="1" t="s">
        <v>22</v>
      </c>
      <c r="C255" s="1" t="s">
        <v>26</v>
      </c>
      <c r="D255" s="1" t="s">
        <v>42</v>
      </c>
      <c r="E255" s="1" t="s">
        <v>24</v>
      </c>
      <c r="F255" s="1" t="s">
        <v>28</v>
      </c>
      <c r="G255" s="2">
        <v>45180</v>
      </c>
      <c r="H255" s="3">
        <v>231</v>
      </c>
      <c r="I255" s="3">
        <v>91.51</v>
      </c>
      <c r="J255" s="3">
        <v>303.95</v>
      </c>
      <c r="K255" t="str">
        <f>IF(B255="", VLOOKUP(C255, Mapping!A:B, 2, FALSE), B255)</f>
        <v>North</v>
      </c>
      <c r="L255" t="str">
        <f t="shared" si="9"/>
        <v>Electronics</v>
      </c>
      <c r="M255">
        <f>IF(H255="", AVERAGEIF(Dataset!D:D, D255, Dataset!H:H), H255)</f>
        <v>231</v>
      </c>
      <c r="N255">
        <f>IF(I255="", AVERAGEIF(Dataset!D:D, D255, Dataset!I:I), I255)</f>
        <v>91.51</v>
      </c>
      <c r="O255">
        <f t="shared" si="10"/>
        <v>21138.81</v>
      </c>
      <c r="P255">
        <f t="shared" si="11"/>
        <v>0</v>
      </c>
    </row>
    <row r="256" spans="1:16" ht="15" thickBot="1" x14ac:dyDescent="0.35">
      <c r="A256" s="1" t="s">
        <v>283</v>
      </c>
      <c r="B256" s="1" t="s">
        <v>22</v>
      </c>
      <c r="C256" s="1" t="s">
        <v>50</v>
      </c>
      <c r="D256" s="1" t="s">
        <v>19</v>
      </c>
      <c r="E256" s="1" t="s">
        <v>24</v>
      </c>
      <c r="F256" s="1" t="s">
        <v>28</v>
      </c>
      <c r="G256" s="2">
        <v>45181</v>
      </c>
      <c r="H256" s="3">
        <v>215</v>
      </c>
      <c r="I256" s="3">
        <v>183.58</v>
      </c>
      <c r="J256" s="3">
        <v>271.99</v>
      </c>
      <c r="K256" t="str">
        <f>IF(B256="", VLOOKUP(C256, Mapping!A:B, 2, FALSE), B256)</f>
        <v>North</v>
      </c>
      <c r="L256" t="str">
        <f t="shared" si="9"/>
        <v>Food</v>
      </c>
      <c r="M256">
        <f>IF(H256="", AVERAGEIF(Dataset!D:D, D256, Dataset!H:H), H256)</f>
        <v>215</v>
      </c>
      <c r="N256">
        <f>IF(I256="", AVERAGEIF(Dataset!D:D, D256, Dataset!I:I), I256)</f>
        <v>183.58</v>
      </c>
      <c r="O256">
        <f t="shared" si="10"/>
        <v>39469.700000000004</v>
      </c>
      <c r="P256">
        <f t="shared" si="11"/>
        <v>0</v>
      </c>
    </row>
    <row r="257" spans="1:16" ht="15" thickBot="1" x14ac:dyDescent="0.35">
      <c r="A257" s="1" t="s">
        <v>284</v>
      </c>
      <c r="B257" s="1" t="s">
        <v>11</v>
      </c>
      <c r="C257" s="1" t="s">
        <v>26</v>
      </c>
      <c r="D257" s="1" t="s">
        <v>27</v>
      </c>
      <c r="E257" s="1" t="s">
        <v>24</v>
      </c>
      <c r="F257" s="1" t="s">
        <v>15</v>
      </c>
      <c r="G257" s="2">
        <v>45182</v>
      </c>
      <c r="H257" s="3">
        <v>464</v>
      </c>
      <c r="I257" s="3">
        <v>453.42</v>
      </c>
      <c r="J257" s="3">
        <v>302.99</v>
      </c>
      <c r="K257" t="str">
        <f>IF(B257="", VLOOKUP(C257, Mapping!A:B, 2, FALSE), B257)</f>
        <v>East</v>
      </c>
      <c r="L257" t="str">
        <f t="shared" si="9"/>
        <v>Furniture</v>
      </c>
      <c r="M257">
        <f>IF(H257="", AVERAGEIF(Dataset!D:D, D257, Dataset!H:H), H257)</f>
        <v>464</v>
      </c>
      <c r="N257">
        <f>IF(I257="", AVERAGEIF(Dataset!D:D, D257, Dataset!I:I), I257)</f>
        <v>453.42</v>
      </c>
      <c r="O257">
        <f t="shared" si="10"/>
        <v>210386.88</v>
      </c>
      <c r="P257">
        <f t="shared" si="11"/>
        <v>69799.520000000004</v>
      </c>
    </row>
    <row r="258" spans="1:16" ht="15" thickBot="1" x14ac:dyDescent="0.35">
      <c r="A258" s="1" t="s">
        <v>285</v>
      </c>
      <c r="B258" s="1" t="s">
        <v>11</v>
      </c>
      <c r="C258" s="1" t="s">
        <v>50</v>
      </c>
      <c r="D258" s="1" t="s">
        <v>23</v>
      </c>
      <c r="E258" s="1" t="s">
        <v>14</v>
      </c>
      <c r="F258" s="1" t="s">
        <v>20</v>
      </c>
      <c r="G258" s="2">
        <v>45183</v>
      </c>
      <c r="H258" s="3">
        <v>282</v>
      </c>
      <c r="I258" s="1"/>
      <c r="J258" s="3">
        <v>337.1</v>
      </c>
      <c r="K258" t="str">
        <f>IF(B258="", VLOOKUP(C258, Mapping!A:B, 2, FALSE), B258)</f>
        <v>East</v>
      </c>
      <c r="L258" t="str">
        <f t="shared" si="9"/>
        <v>Clothing</v>
      </c>
      <c r="M258">
        <f>IF(H258="", AVERAGEIF(Dataset!D:D, D258, Dataset!H:H), H258)</f>
        <v>282</v>
      </c>
      <c r="N258">
        <f>IF(I258="", AVERAGEIF(Dataset!D:D, D258, Dataset!I:I), I258)</f>
        <v>245.33323076923077</v>
      </c>
      <c r="O258" t="str">
        <f t="shared" si="10"/>
        <v/>
      </c>
      <c r="P258">
        <f t="shared" si="11"/>
        <v>0</v>
      </c>
    </row>
    <row r="259" spans="1:16" ht="29.4" thickBot="1" x14ac:dyDescent="0.35">
      <c r="A259" s="1" t="s">
        <v>286</v>
      </c>
      <c r="B259" s="1" t="s">
        <v>48</v>
      </c>
      <c r="C259" s="1" t="s">
        <v>31</v>
      </c>
      <c r="D259" s="1" t="s">
        <v>42</v>
      </c>
      <c r="E259" s="1" t="s">
        <v>14</v>
      </c>
      <c r="F259" s="1" t="s">
        <v>20</v>
      </c>
      <c r="G259" s="2">
        <v>45184</v>
      </c>
      <c r="H259" s="3">
        <v>391</v>
      </c>
      <c r="I259" s="3">
        <v>280.54000000000002</v>
      </c>
      <c r="J259" s="3">
        <v>189.19</v>
      </c>
      <c r="K259" t="str">
        <f>IF(B259="", VLOOKUP(C259, Mapping!A:B, 2, FALSE), B259)</f>
        <v>South</v>
      </c>
      <c r="L259" t="str">
        <f t="shared" ref="L259:L322" si="12">IF(D259="", IF(H259&lt;100,"Clothing", IF(H259&lt;=250,"Food", IF(H259&lt;=400,"Furniture","Electronics"))), D259)</f>
        <v>Electronics</v>
      </c>
      <c r="M259">
        <f>IF(H259="", AVERAGEIF(Dataset!D:D, D259, Dataset!H:H), H259)</f>
        <v>391</v>
      </c>
      <c r="N259">
        <f>IF(I259="", AVERAGEIF(Dataset!D:D, D259, Dataset!I:I), I259)</f>
        <v>280.54000000000002</v>
      </c>
      <c r="O259">
        <f t="shared" ref="O259:O322" si="13">IF(OR(H259="",I259=""),"",H259*I259)</f>
        <v>109691.14000000001</v>
      </c>
      <c r="P259">
        <f t="shared" ref="P259:P322" si="14">MAX(0, H259*(I259-J259))</f>
        <v>35717.850000000006</v>
      </c>
    </row>
    <row r="260" spans="1:16" ht="29.4" thickBot="1" x14ac:dyDescent="0.35">
      <c r="A260" s="1" t="s">
        <v>287</v>
      </c>
      <c r="B260" s="1" t="s">
        <v>17</v>
      </c>
      <c r="C260" s="1" t="s">
        <v>50</v>
      </c>
      <c r="D260" s="1" t="s">
        <v>13</v>
      </c>
      <c r="E260" s="1" t="s">
        <v>14</v>
      </c>
      <c r="F260" s="1" t="s">
        <v>15</v>
      </c>
      <c r="G260" s="2">
        <v>45185</v>
      </c>
      <c r="H260" s="3">
        <v>245</v>
      </c>
      <c r="I260" s="3">
        <v>131.54</v>
      </c>
      <c r="J260" s="3">
        <v>201.82</v>
      </c>
      <c r="K260" t="str">
        <f>IF(B260="", VLOOKUP(C260, Mapping!A:B, 2, FALSE), B260)</f>
        <v>West</v>
      </c>
      <c r="L260" t="str">
        <f t="shared" si="12"/>
        <v>Beverages</v>
      </c>
      <c r="M260">
        <f>IF(H260="", AVERAGEIF(Dataset!D:D, D260, Dataset!H:H), H260)</f>
        <v>245</v>
      </c>
      <c r="N260">
        <f>IF(I260="", AVERAGEIF(Dataset!D:D, D260, Dataset!I:I), I260)</f>
        <v>131.54</v>
      </c>
      <c r="O260">
        <f t="shared" si="13"/>
        <v>32227.3</v>
      </c>
      <c r="P260">
        <f t="shared" si="14"/>
        <v>0</v>
      </c>
    </row>
    <row r="261" spans="1:16" ht="15" thickBot="1" x14ac:dyDescent="0.35">
      <c r="A261" s="1" t="s">
        <v>288</v>
      </c>
      <c r="B261" s="1" t="s">
        <v>11</v>
      </c>
      <c r="C261" s="1" t="s">
        <v>12</v>
      </c>
      <c r="D261" s="1" t="s">
        <v>27</v>
      </c>
      <c r="E261" s="1" t="s">
        <v>14</v>
      </c>
      <c r="F261" s="1" t="s">
        <v>15</v>
      </c>
      <c r="G261" s="2">
        <v>45186</v>
      </c>
      <c r="H261" s="3">
        <v>349</v>
      </c>
      <c r="I261" s="3">
        <v>154.52000000000001</v>
      </c>
      <c r="J261" s="3">
        <v>51.64</v>
      </c>
      <c r="K261" t="str">
        <f>IF(B261="", VLOOKUP(C261, Mapping!A:B, 2, FALSE), B261)</f>
        <v>East</v>
      </c>
      <c r="L261" t="str">
        <f t="shared" si="12"/>
        <v>Furniture</v>
      </c>
      <c r="M261">
        <f>IF(H261="", AVERAGEIF(Dataset!D:D, D261, Dataset!H:H), H261)</f>
        <v>349</v>
      </c>
      <c r="N261">
        <f>IF(I261="", AVERAGEIF(Dataset!D:D, D261, Dataset!I:I), I261)</f>
        <v>154.52000000000001</v>
      </c>
      <c r="O261">
        <f t="shared" si="13"/>
        <v>53927.48</v>
      </c>
      <c r="P261">
        <f t="shared" si="14"/>
        <v>35905.120000000003</v>
      </c>
    </row>
    <row r="262" spans="1:16" ht="15" thickBot="1" x14ac:dyDescent="0.35">
      <c r="A262" s="1" t="s">
        <v>289</v>
      </c>
      <c r="B262" s="1" t="s">
        <v>22</v>
      </c>
      <c r="C262" s="1" t="s">
        <v>18</v>
      </c>
      <c r="D262" s="1" t="s">
        <v>19</v>
      </c>
      <c r="E262" s="1" t="s">
        <v>24</v>
      </c>
      <c r="F262" s="1" t="s">
        <v>28</v>
      </c>
      <c r="G262" s="2">
        <v>45187</v>
      </c>
      <c r="H262" s="3">
        <v>237</v>
      </c>
      <c r="I262" s="1"/>
      <c r="J262" s="3">
        <v>155.38</v>
      </c>
      <c r="K262" t="str">
        <f>IF(B262="", VLOOKUP(C262, Mapping!A:B, 2, FALSE), B262)</f>
        <v>North</v>
      </c>
      <c r="L262" t="str">
        <f t="shared" si="12"/>
        <v>Food</v>
      </c>
      <c r="M262">
        <f>IF(H262="", AVERAGEIF(Dataset!D:D, D262, Dataset!H:H), H262)</f>
        <v>237</v>
      </c>
      <c r="N262">
        <f>IF(I262="", AVERAGEIF(Dataset!D:D, D262, Dataset!I:I), I262)</f>
        <v>259.99928571428569</v>
      </c>
      <c r="O262" t="str">
        <f t="shared" si="13"/>
        <v/>
      </c>
      <c r="P262">
        <f t="shared" si="14"/>
        <v>0</v>
      </c>
    </row>
    <row r="263" spans="1:16" ht="15" thickBot="1" x14ac:dyDescent="0.35">
      <c r="A263" s="1" t="s">
        <v>290</v>
      </c>
      <c r="B263" s="1" t="s">
        <v>48</v>
      </c>
      <c r="C263" s="1" t="s">
        <v>50</v>
      </c>
      <c r="D263" s="1" t="s">
        <v>27</v>
      </c>
      <c r="E263" s="1" t="s">
        <v>24</v>
      </c>
      <c r="F263" s="1" t="s">
        <v>15</v>
      </c>
      <c r="G263" s="2">
        <v>45188</v>
      </c>
      <c r="H263" s="3">
        <v>18</v>
      </c>
      <c r="I263" s="3">
        <v>426.33</v>
      </c>
      <c r="J263" s="3">
        <v>258.06</v>
      </c>
      <c r="K263" t="str">
        <f>IF(B263="", VLOOKUP(C263, Mapping!A:B, 2, FALSE), B263)</f>
        <v>South</v>
      </c>
      <c r="L263" t="str">
        <f t="shared" si="12"/>
        <v>Furniture</v>
      </c>
      <c r="M263">
        <f>IF(H263="", AVERAGEIF(Dataset!D:D, D263, Dataset!H:H), H263)</f>
        <v>18</v>
      </c>
      <c r="N263">
        <f>IF(I263="", AVERAGEIF(Dataset!D:D, D263, Dataset!I:I), I263)</f>
        <v>426.33</v>
      </c>
      <c r="O263">
        <f t="shared" si="13"/>
        <v>7673.94</v>
      </c>
      <c r="P263">
        <f t="shared" si="14"/>
        <v>3028.8599999999997</v>
      </c>
    </row>
    <row r="264" spans="1:16" ht="29.4" thickBot="1" x14ac:dyDescent="0.35">
      <c r="A264" s="1" t="s">
        <v>291</v>
      </c>
      <c r="B264" s="1" t="s">
        <v>22</v>
      </c>
      <c r="C264" s="1" t="s">
        <v>50</v>
      </c>
      <c r="D264" s="1" t="s">
        <v>42</v>
      </c>
      <c r="E264" s="1" t="s">
        <v>24</v>
      </c>
      <c r="F264" s="1" t="s">
        <v>20</v>
      </c>
      <c r="G264" s="2">
        <v>45189</v>
      </c>
      <c r="H264" s="3">
        <v>175</v>
      </c>
      <c r="I264" s="3">
        <v>337.36</v>
      </c>
      <c r="J264" s="3">
        <v>312.60000000000002</v>
      </c>
      <c r="K264" t="str">
        <f>IF(B264="", VLOOKUP(C264, Mapping!A:B, 2, FALSE), B264)</f>
        <v>North</v>
      </c>
      <c r="L264" t="str">
        <f t="shared" si="12"/>
        <v>Electronics</v>
      </c>
      <c r="M264">
        <f>IF(H264="", AVERAGEIF(Dataset!D:D, D264, Dataset!H:H), H264)</f>
        <v>175</v>
      </c>
      <c r="N264">
        <f>IF(I264="", AVERAGEIF(Dataset!D:D, D264, Dataset!I:I), I264)</f>
        <v>337.36</v>
      </c>
      <c r="O264">
        <f t="shared" si="13"/>
        <v>59038</v>
      </c>
      <c r="P264">
        <f t="shared" si="14"/>
        <v>4332.9999999999982</v>
      </c>
    </row>
    <row r="265" spans="1:16" ht="15" thickBot="1" x14ac:dyDescent="0.35">
      <c r="A265" s="1" t="s">
        <v>292</v>
      </c>
      <c r="B265" s="1" t="s">
        <v>22</v>
      </c>
      <c r="C265" s="1" t="s">
        <v>18</v>
      </c>
      <c r="D265" s="1"/>
      <c r="E265" s="1" t="s">
        <v>14</v>
      </c>
      <c r="F265" s="1" t="s">
        <v>15</v>
      </c>
      <c r="G265" s="2">
        <v>45190</v>
      </c>
      <c r="H265" s="3">
        <v>441</v>
      </c>
      <c r="I265" s="3">
        <v>405.72</v>
      </c>
      <c r="J265" s="3">
        <v>88.45</v>
      </c>
      <c r="K265" t="str">
        <f>IF(B265="", VLOOKUP(C265, Mapping!A:B, 2, FALSE), B265)</f>
        <v>North</v>
      </c>
      <c r="L265" t="str">
        <f t="shared" si="12"/>
        <v>Electronics</v>
      </c>
      <c r="M265">
        <f>IF(H265="", AVERAGEIF(Dataset!D:D, D265, Dataset!H:H), H265)</f>
        <v>441</v>
      </c>
      <c r="N265">
        <f>IF(I265="", AVERAGEIF(Dataset!D:D, D265, Dataset!I:I), I265)</f>
        <v>405.72</v>
      </c>
      <c r="O265">
        <f t="shared" si="13"/>
        <v>178922.52000000002</v>
      </c>
      <c r="P265">
        <f t="shared" si="14"/>
        <v>139916.07</v>
      </c>
    </row>
    <row r="266" spans="1:16" ht="15" thickBot="1" x14ac:dyDescent="0.35">
      <c r="A266" s="1" t="s">
        <v>293</v>
      </c>
      <c r="B266" s="1" t="s">
        <v>11</v>
      </c>
      <c r="C266" s="1" t="s">
        <v>12</v>
      </c>
      <c r="D266" s="1" t="s">
        <v>23</v>
      </c>
      <c r="E266" s="1" t="s">
        <v>24</v>
      </c>
      <c r="F266" s="1" t="s">
        <v>28</v>
      </c>
      <c r="G266" s="2">
        <v>45191</v>
      </c>
      <c r="H266" s="3">
        <v>453</v>
      </c>
      <c r="I266" s="3">
        <v>384.49</v>
      </c>
      <c r="J266" s="3">
        <v>56.85</v>
      </c>
      <c r="K266" t="str">
        <f>IF(B266="", VLOOKUP(C266, Mapping!A:B, 2, FALSE), B266)</f>
        <v>East</v>
      </c>
      <c r="L266" t="str">
        <f t="shared" si="12"/>
        <v>Clothing</v>
      </c>
      <c r="M266">
        <f>IF(H266="", AVERAGEIF(Dataset!D:D, D266, Dataset!H:H), H266)</f>
        <v>453</v>
      </c>
      <c r="N266">
        <f>IF(I266="", AVERAGEIF(Dataset!D:D, D266, Dataset!I:I), I266)</f>
        <v>384.49</v>
      </c>
      <c r="O266">
        <f t="shared" si="13"/>
        <v>174173.97</v>
      </c>
      <c r="P266">
        <f t="shared" si="14"/>
        <v>148420.91999999998</v>
      </c>
    </row>
    <row r="267" spans="1:16" ht="15" thickBot="1" x14ac:dyDescent="0.35">
      <c r="A267" s="1" t="s">
        <v>294</v>
      </c>
      <c r="B267" s="1" t="s">
        <v>48</v>
      </c>
      <c r="C267" s="1" t="s">
        <v>26</v>
      </c>
      <c r="D267" s="1" t="s">
        <v>27</v>
      </c>
      <c r="E267" s="1" t="s">
        <v>14</v>
      </c>
      <c r="F267" s="1" t="s">
        <v>28</v>
      </c>
      <c r="G267" s="2">
        <v>45192</v>
      </c>
      <c r="H267" s="3">
        <v>328</v>
      </c>
      <c r="I267" s="3">
        <v>79.099999999999994</v>
      </c>
      <c r="J267" s="3">
        <v>265.89</v>
      </c>
      <c r="K267" t="str">
        <f>IF(B267="", VLOOKUP(C267, Mapping!A:B, 2, FALSE), B267)</f>
        <v>South</v>
      </c>
      <c r="L267" t="str">
        <f t="shared" si="12"/>
        <v>Furniture</v>
      </c>
      <c r="M267">
        <f>IF(H267="", AVERAGEIF(Dataset!D:D, D267, Dataset!H:H), H267)</f>
        <v>328</v>
      </c>
      <c r="N267">
        <f>IF(I267="", AVERAGEIF(Dataset!D:D, D267, Dataset!I:I), I267)</f>
        <v>79.099999999999994</v>
      </c>
      <c r="O267">
        <f t="shared" si="13"/>
        <v>25944.799999999999</v>
      </c>
      <c r="P267">
        <f t="shared" si="14"/>
        <v>0</v>
      </c>
    </row>
    <row r="268" spans="1:16" ht="29.4" thickBot="1" x14ac:dyDescent="0.35">
      <c r="A268" s="1" t="s">
        <v>295</v>
      </c>
      <c r="B268" s="1" t="s">
        <v>17</v>
      </c>
      <c r="C268" s="1" t="s">
        <v>50</v>
      </c>
      <c r="D268" s="1" t="s">
        <v>42</v>
      </c>
      <c r="E268" s="1" t="s">
        <v>24</v>
      </c>
      <c r="F268" s="1" t="s">
        <v>28</v>
      </c>
      <c r="G268" s="2">
        <v>45193</v>
      </c>
      <c r="H268" s="3">
        <v>223</v>
      </c>
      <c r="I268" s="3">
        <v>214.85</v>
      </c>
      <c r="J268" s="3">
        <v>2.75</v>
      </c>
      <c r="K268" t="str">
        <f>IF(B268="", VLOOKUP(C268, Mapping!A:B, 2, FALSE), B268)</f>
        <v>West</v>
      </c>
      <c r="L268" t="str">
        <f t="shared" si="12"/>
        <v>Electronics</v>
      </c>
      <c r="M268">
        <f>IF(H268="", AVERAGEIF(Dataset!D:D, D268, Dataset!H:H), H268)</f>
        <v>223</v>
      </c>
      <c r="N268">
        <f>IF(I268="", AVERAGEIF(Dataset!D:D, D268, Dataset!I:I), I268)</f>
        <v>214.85</v>
      </c>
      <c r="O268">
        <f t="shared" si="13"/>
        <v>47911.549999999996</v>
      </c>
      <c r="P268">
        <f t="shared" si="14"/>
        <v>47298.299999999996</v>
      </c>
    </row>
    <row r="269" spans="1:16" ht="29.4" thickBot="1" x14ac:dyDescent="0.35">
      <c r="A269" s="1" t="s">
        <v>296</v>
      </c>
      <c r="B269" s="1" t="s">
        <v>17</v>
      </c>
      <c r="C269" s="1" t="s">
        <v>18</v>
      </c>
      <c r="D269" s="1" t="s">
        <v>13</v>
      </c>
      <c r="E269" s="1" t="s">
        <v>14</v>
      </c>
      <c r="F269" s="1" t="s">
        <v>28</v>
      </c>
      <c r="G269" s="2">
        <v>45194</v>
      </c>
      <c r="H269" s="3">
        <v>126</v>
      </c>
      <c r="I269" s="3">
        <v>80.73</v>
      </c>
      <c r="J269" s="3">
        <v>72.989999999999995</v>
      </c>
      <c r="K269" t="str">
        <f>IF(B269="", VLOOKUP(C269, Mapping!A:B, 2, FALSE), B269)</f>
        <v>West</v>
      </c>
      <c r="L269" t="str">
        <f t="shared" si="12"/>
        <v>Beverages</v>
      </c>
      <c r="M269">
        <f>IF(H269="", AVERAGEIF(Dataset!D:D, D269, Dataset!H:H), H269)</f>
        <v>126</v>
      </c>
      <c r="N269">
        <f>IF(I269="", AVERAGEIF(Dataset!D:D, D269, Dataset!I:I), I269)</f>
        <v>80.73</v>
      </c>
      <c r="O269">
        <f t="shared" si="13"/>
        <v>10171.980000000001</v>
      </c>
      <c r="P269">
        <f t="shared" si="14"/>
        <v>975.24000000000115</v>
      </c>
    </row>
    <row r="270" spans="1:16" ht="15" thickBot="1" x14ac:dyDescent="0.35">
      <c r="A270" s="1" t="s">
        <v>297</v>
      </c>
      <c r="B270" s="1" t="s">
        <v>11</v>
      </c>
      <c r="C270" s="1" t="s">
        <v>31</v>
      </c>
      <c r="D270" s="1" t="s">
        <v>19</v>
      </c>
      <c r="E270" s="1" t="s">
        <v>14</v>
      </c>
      <c r="F270" s="1" t="s">
        <v>28</v>
      </c>
      <c r="G270" s="2">
        <v>45195</v>
      </c>
      <c r="H270" s="3">
        <v>395</v>
      </c>
      <c r="I270" s="3">
        <v>121.44</v>
      </c>
      <c r="J270" s="3">
        <v>13.57</v>
      </c>
      <c r="K270" t="str">
        <f>IF(B270="", VLOOKUP(C270, Mapping!A:B, 2, FALSE), B270)</f>
        <v>East</v>
      </c>
      <c r="L270" t="str">
        <f t="shared" si="12"/>
        <v>Food</v>
      </c>
      <c r="M270">
        <f>IF(H270="", AVERAGEIF(Dataset!D:D, D270, Dataset!H:H), H270)</f>
        <v>395</v>
      </c>
      <c r="N270">
        <f>IF(I270="", AVERAGEIF(Dataset!D:D, D270, Dataset!I:I), I270)</f>
        <v>121.44</v>
      </c>
      <c r="O270">
        <f t="shared" si="13"/>
        <v>47968.799999999996</v>
      </c>
      <c r="P270">
        <f t="shared" si="14"/>
        <v>42608.65</v>
      </c>
    </row>
    <row r="271" spans="1:16" ht="15" thickBot="1" x14ac:dyDescent="0.35">
      <c r="A271" s="1" t="s">
        <v>298</v>
      </c>
      <c r="B271" s="1" t="s">
        <v>11</v>
      </c>
      <c r="C271" s="1" t="s">
        <v>18</v>
      </c>
      <c r="D271" s="1" t="s">
        <v>27</v>
      </c>
      <c r="E271" s="1" t="s">
        <v>24</v>
      </c>
      <c r="F271" s="1" t="s">
        <v>15</v>
      </c>
      <c r="G271" s="2">
        <v>45196</v>
      </c>
      <c r="H271" s="3">
        <v>353</v>
      </c>
      <c r="I271" s="3">
        <v>435.28</v>
      </c>
      <c r="J271" s="3">
        <v>68.42</v>
      </c>
      <c r="K271" t="str">
        <f>IF(B271="", VLOOKUP(C271, Mapping!A:B, 2, FALSE), B271)</f>
        <v>East</v>
      </c>
      <c r="L271" t="str">
        <f t="shared" si="12"/>
        <v>Furniture</v>
      </c>
      <c r="M271">
        <f>IF(H271="", AVERAGEIF(Dataset!D:D, D271, Dataset!H:H), H271)</f>
        <v>353</v>
      </c>
      <c r="N271">
        <f>IF(I271="", AVERAGEIF(Dataset!D:D, D271, Dataset!I:I), I271)</f>
        <v>435.28</v>
      </c>
      <c r="O271">
        <f t="shared" si="13"/>
        <v>153653.84</v>
      </c>
      <c r="P271">
        <f t="shared" si="14"/>
        <v>129501.57999999999</v>
      </c>
    </row>
    <row r="272" spans="1:16" ht="15" thickBot="1" x14ac:dyDescent="0.35">
      <c r="A272" s="1" t="s">
        <v>299</v>
      </c>
      <c r="B272" s="1" t="s">
        <v>48</v>
      </c>
      <c r="C272" s="1" t="s">
        <v>31</v>
      </c>
      <c r="D272" s="1" t="s">
        <v>27</v>
      </c>
      <c r="E272" s="1" t="s">
        <v>24</v>
      </c>
      <c r="F272" s="1" t="s">
        <v>15</v>
      </c>
      <c r="G272" s="2">
        <v>45197</v>
      </c>
      <c r="H272" s="3">
        <v>81</v>
      </c>
      <c r="I272" s="3">
        <v>239.08</v>
      </c>
      <c r="J272" s="3">
        <v>74.17</v>
      </c>
      <c r="K272" t="str">
        <f>IF(B272="", VLOOKUP(C272, Mapping!A:B, 2, FALSE), B272)</f>
        <v>South</v>
      </c>
      <c r="L272" t="str">
        <f t="shared" si="12"/>
        <v>Furniture</v>
      </c>
      <c r="M272">
        <f>IF(H272="", AVERAGEIF(Dataset!D:D, D272, Dataset!H:H), H272)</f>
        <v>81</v>
      </c>
      <c r="N272">
        <f>IF(I272="", AVERAGEIF(Dataset!D:D, D272, Dataset!I:I), I272)</f>
        <v>239.08</v>
      </c>
      <c r="O272">
        <f t="shared" si="13"/>
        <v>19365.48</v>
      </c>
      <c r="P272">
        <f t="shared" si="14"/>
        <v>13357.710000000003</v>
      </c>
    </row>
    <row r="273" spans="1:16" ht="15" thickBot="1" x14ac:dyDescent="0.35">
      <c r="A273" s="1" t="s">
        <v>300</v>
      </c>
      <c r="B273" s="1" t="s">
        <v>17</v>
      </c>
      <c r="C273" s="1" t="s">
        <v>12</v>
      </c>
      <c r="D273" s="1" t="s">
        <v>23</v>
      </c>
      <c r="E273" s="1" t="s">
        <v>24</v>
      </c>
      <c r="F273" s="1" t="s">
        <v>15</v>
      </c>
      <c r="G273" s="2">
        <v>45198</v>
      </c>
      <c r="H273" s="3">
        <v>404</v>
      </c>
      <c r="I273" s="3">
        <v>270</v>
      </c>
      <c r="J273" s="3">
        <v>156.29</v>
      </c>
      <c r="K273" t="str">
        <f>IF(B273="", VLOOKUP(C273, Mapping!A:B, 2, FALSE), B273)</f>
        <v>West</v>
      </c>
      <c r="L273" t="str">
        <f t="shared" si="12"/>
        <v>Clothing</v>
      </c>
      <c r="M273">
        <f>IF(H273="", AVERAGEIF(Dataset!D:D, D273, Dataset!H:H), H273)</f>
        <v>404</v>
      </c>
      <c r="N273">
        <f>IF(I273="", AVERAGEIF(Dataset!D:D, D273, Dataset!I:I), I273)</f>
        <v>270</v>
      </c>
      <c r="O273">
        <f t="shared" si="13"/>
        <v>109080</v>
      </c>
      <c r="P273">
        <f t="shared" si="14"/>
        <v>45938.840000000004</v>
      </c>
    </row>
    <row r="274" spans="1:16" ht="15" thickBot="1" x14ac:dyDescent="0.35">
      <c r="A274" s="1" t="s">
        <v>301</v>
      </c>
      <c r="B274" s="1" t="s">
        <v>17</v>
      </c>
      <c r="C274" s="1" t="s">
        <v>26</v>
      </c>
      <c r="D274" s="1" t="s">
        <v>23</v>
      </c>
      <c r="E274" s="1" t="s">
        <v>24</v>
      </c>
      <c r="F274" s="1" t="s">
        <v>15</v>
      </c>
      <c r="G274" s="2">
        <v>45199</v>
      </c>
      <c r="H274" s="3">
        <v>73</v>
      </c>
      <c r="I274" s="3">
        <v>93.33</v>
      </c>
      <c r="J274" s="3">
        <v>162.13</v>
      </c>
      <c r="K274" t="str">
        <f>IF(B274="", VLOOKUP(C274, Mapping!A:B, 2, FALSE), B274)</f>
        <v>West</v>
      </c>
      <c r="L274" t="str">
        <f t="shared" si="12"/>
        <v>Clothing</v>
      </c>
      <c r="M274">
        <f>IF(H274="", AVERAGEIF(Dataset!D:D, D274, Dataset!H:H), H274)</f>
        <v>73</v>
      </c>
      <c r="N274">
        <f>IF(I274="", AVERAGEIF(Dataset!D:D, D274, Dataset!I:I), I274)</f>
        <v>93.33</v>
      </c>
      <c r="O274">
        <f t="shared" si="13"/>
        <v>6813.09</v>
      </c>
      <c r="P274">
        <f t="shared" si="14"/>
        <v>0</v>
      </c>
    </row>
    <row r="275" spans="1:16" ht="29.4" thickBot="1" x14ac:dyDescent="0.35">
      <c r="A275" s="1" t="s">
        <v>302</v>
      </c>
      <c r="B275" s="1" t="s">
        <v>17</v>
      </c>
      <c r="C275" s="1" t="s">
        <v>18</v>
      </c>
      <c r="D275" s="1" t="s">
        <v>13</v>
      </c>
      <c r="E275" s="1" t="s">
        <v>14</v>
      </c>
      <c r="F275" s="1" t="s">
        <v>28</v>
      </c>
      <c r="G275" s="2">
        <v>45200</v>
      </c>
      <c r="H275" s="3">
        <v>214</v>
      </c>
      <c r="I275" s="3">
        <v>159.57</v>
      </c>
      <c r="J275" s="3">
        <v>349.96</v>
      </c>
      <c r="K275" t="str">
        <f>IF(B275="", VLOOKUP(C275, Mapping!A:B, 2, FALSE), B275)</f>
        <v>West</v>
      </c>
      <c r="L275" t="str">
        <f t="shared" si="12"/>
        <v>Beverages</v>
      </c>
      <c r="M275">
        <f>IF(H275="", AVERAGEIF(Dataset!D:D, D275, Dataset!H:H), H275)</f>
        <v>214</v>
      </c>
      <c r="N275">
        <f>IF(I275="", AVERAGEIF(Dataset!D:D, D275, Dataset!I:I), I275)</f>
        <v>159.57</v>
      </c>
      <c r="O275">
        <f t="shared" si="13"/>
        <v>34147.979999999996</v>
      </c>
      <c r="P275">
        <f t="shared" si="14"/>
        <v>0</v>
      </c>
    </row>
    <row r="276" spans="1:16" ht="29.4" thickBot="1" x14ac:dyDescent="0.35">
      <c r="A276" s="1" t="s">
        <v>303</v>
      </c>
      <c r="B276" s="1" t="s">
        <v>22</v>
      </c>
      <c r="C276" s="1" t="s">
        <v>50</v>
      </c>
      <c r="D276" s="1" t="s">
        <v>13</v>
      </c>
      <c r="E276" s="1" t="s">
        <v>24</v>
      </c>
      <c r="F276" s="1" t="s">
        <v>20</v>
      </c>
      <c r="G276" s="2">
        <v>45201</v>
      </c>
      <c r="H276" s="3">
        <v>218</v>
      </c>
      <c r="I276" s="3">
        <v>118.97</v>
      </c>
      <c r="J276" s="3">
        <v>205.02</v>
      </c>
      <c r="K276" t="str">
        <f>IF(B276="", VLOOKUP(C276, Mapping!A:B, 2, FALSE), B276)</f>
        <v>North</v>
      </c>
      <c r="L276" t="str">
        <f t="shared" si="12"/>
        <v>Beverages</v>
      </c>
      <c r="M276">
        <f>IF(H276="", AVERAGEIF(Dataset!D:D, D276, Dataset!H:H), H276)</f>
        <v>218</v>
      </c>
      <c r="N276">
        <f>IF(I276="", AVERAGEIF(Dataset!D:D, D276, Dataset!I:I), I276)</f>
        <v>118.97</v>
      </c>
      <c r="O276">
        <f t="shared" si="13"/>
        <v>25935.46</v>
      </c>
      <c r="P276">
        <f t="shared" si="14"/>
        <v>0</v>
      </c>
    </row>
    <row r="277" spans="1:16" ht="29.4" thickBot="1" x14ac:dyDescent="0.35">
      <c r="A277" s="1" t="s">
        <v>304</v>
      </c>
      <c r="B277" s="1" t="s">
        <v>17</v>
      </c>
      <c r="C277" s="1" t="s">
        <v>12</v>
      </c>
      <c r="D277" s="1" t="s">
        <v>42</v>
      </c>
      <c r="E277" s="1" t="s">
        <v>24</v>
      </c>
      <c r="F277" s="1" t="s">
        <v>15</v>
      </c>
      <c r="G277" s="2">
        <v>45202</v>
      </c>
      <c r="H277" s="3">
        <v>81</v>
      </c>
      <c r="I277" s="3">
        <v>107.06</v>
      </c>
      <c r="J277" s="3">
        <v>289.92</v>
      </c>
      <c r="K277" t="str">
        <f>IF(B277="", VLOOKUP(C277, Mapping!A:B, 2, FALSE), B277)</f>
        <v>West</v>
      </c>
      <c r="L277" t="str">
        <f t="shared" si="12"/>
        <v>Electronics</v>
      </c>
      <c r="M277">
        <f>IF(H277="", AVERAGEIF(Dataset!D:D, D277, Dataset!H:H), H277)</f>
        <v>81</v>
      </c>
      <c r="N277">
        <f>IF(I277="", AVERAGEIF(Dataset!D:D, D277, Dataset!I:I), I277)</f>
        <v>107.06</v>
      </c>
      <c r="O277">
        <f t="shared" si="13"/>
        <v>8671.86</v>
      </c>
      <c r="P277">
        <f t="shared" si="14"/>
        <v>0</v>
      </c>
    </row>
    <row r="278" spans="1:16" ht="29.4" thickBot="1" x14ac:dyDescent="0.35">
      <c r="A278" s="1" t="s">
        <v>305</v>
      </c>
      <c r="B278" s="1" t="s">
        <v>22</v>
      </c>
      <c r="C278" s="1" t="s">
        <v>18</v>
      </c>
      <c r="D278" s="1" t="s">
        <v>42</v>
      </c>
      <c r="E278" s="1" t="s">
        <v>24</v>
      </c>
      <c r="F278" s="1" t="s">
        <v>20</v>
      </c>
      <c r="G278" s="2">
        <v>45203</v>
      </c>
      <c r="H278" s="3">
        <v>286</v>
      </c>
      <c r="I278" s="3">
        <v>320.79000000000002</v>
      </c>
      <c r="J278" s="3">
        <v>43.45</v>
      </c>
      <c r="K278" t="str">
        <f>IF(B278="", VLOOKUP(C278, Mapping!A:B, 2, FALSE), B278)</f>
        <v>North</v>
      </c>
      <c r="L278" t="str">
        <f t="shared" si="12"/>
        <v>Electronics</v>
      </c>
      <c r="M278">
        <f>IF(H278="", AVERAGEIF(Dataset!D:D, D278, Dataset!H:H), H278)</f>
        <v>286</v>
      </c>
      <c r="N278">
        <f>IF(I278="", AVERAGEIF(Dataset!D:D, D278, Dataset!I:I), I278)</f>
        <v>320.79000000000002</v>
      </c>
      <c r="O278">
        <f t="shared" si="13"/>
        <v>91745.94</v>
      </c>
      <c r="P278">
        <f t="shared" si="14"/>
        <v>79319.240000000005</v>
      </c>
    </row>
    <row r="279" spans="1:16" ht="29.4" thickBot="1" x14ac:dyDescent="0.35">
      <c r="A279" s="1" t="s">
        <v>306</v>
      </c>
      <c r="B279" s="1" t="s">
        <v>48</v>
      </c>
      <c r="C279" s="1" t="s">
        <v>50</v>
      </c>
      <c r="D279" s="1" t="s">
        <v>13</v>
      </c>
      <c r="E279" s="1" t="s">
        <v>14</v>
      </c>
      <c r="F279" s="1" t="s">
        <v>15</v>
      </c>
      <c r="G279" s="2">
        <v>45204</v>
      </c>
      <c r="H279" s="3">
        <v>283</v>
      </c>
      <c r="I279" s="3">
        <v>132.16</v>
      </c>
      <c r="J279" s="3">
        <v>91.72</v>
      </c>
      <c r="K279" t="str">
        <f>IF(B279="", VLOOKUP(C279, Mapping!A:B, 2, FALSE), B279)</f>
        <v>South</v>
      </c>
      <c r="L279" t="str">
        <f t="shared" si="12"/>
        <v>Beverages</v>
      </c>
      <c r="M279">
        <f>IF(H279="", AVERAGEIF(Dataset!D:D, D279, Dataset!H:H), H279)</f>
        <v>283</v>
      </c>
      <c r="N279">
        <f>IF(I279="", AVERAGEIF(Dataset!D:D, D279, Dataset!I:I), I279)</f>
        <v>132.16</v>
      </c>
      <c r="O279">
        <f t="shared" si="13"/>
        <v>37401.279999999999</v>
      </c>
      <c r="P279">
        <f t="shared" si="14"/>
        <v>11444.519999999999</v>
      </c>
    </row>
    <row r="280" spans="1:16" ht="29.4" thickBot="1" x14ac:dyDescent="0.35">
      <c r="A280" s="1" t="s">
        <v>307</v>
      </c>
      <c r="B280" s="1" t="s">
        <v>22</v>
      </c>
      <c r="C280" s="1" t="s">
        <v>18</v>
      </c>
      <c r="D280" s="1" t="s">
        <v>13</v>
      </c>
      <c r="E280" s="1" t="s">
        <v>14</v>
      </c>
      <c r="F280" s="1" t="s">
        <v>15</v>
      </c>
      <c r="G280" s="2">
        <v>45205</v>
      </c>
      <c r="H280" s="3">
        <v>487</v>
      </c>
      <c r="I280" s="3">
        <v>317.85000000000002</v>
      </c>
      <c r="J280" s="3">
        <v>281.77</v>
      </c>
      <c r="K280" t="str">
        <f>IF(B280="", VLOOKUP(C280, Mapping!A:B, 2, FALSE), B280)</f>
        <v>North</v>
      </c>
      <c r="L280" t="str">
        <f t="shared" si="12"/>
        <v>Beverages</v>
      </c>
      <c r="M280">
        <f>IF(H280="", AVERAGEIF(Dataset!D:D, D280, Dataset!H:H), H280)</f>
        <v>487</v>
      </c>
      <c r="N280">
        <f>IF(I280="", AVERAGEIF(Dataset!D:D, D280, Dataset!I:I), I280)</f>
        <v>317.85000000000002</v>
      </c>
      <c r="O280">
        <f t="shared" si="13"/>
        <v>154792.95000000001</v>
      </c>
      <c r="P280">
        <f t="shared" si="14"/>
        <v>17570.960000000021</v>
      </c>
    </row>
    <row r="281" spans="1:16" ht="15" thickBot="1" x14ac:dyDescent="0.35">
      <c r="A281" s="1" t="s">
        <v>308</v>
      </c>
      <c r="B281" s="1" t="s">
        <v>48</v>
      </c>
      <c r="C281" s="1" t="s">
        <v>31</v>
      </c>
      <c r="D281" s="1" t="s">
        <v>19</v>
      </c>
      <c r="E281" s="1" t="s">
        <v>24</v>
      </c>
      <c r="F281" s="1" t="s">
        <v>20</v>
      </c>
      <c r="G281" s="2">
        <v>45206</v>
      </c>
      <c r="H281" s="3">
        <v>329</v>
      </c>
      <c r="I281" s="3">
        <v>33.94</v>
      </c>
      <c r="J281" s="3">
        <v>23.02</v>
      </c>
      <c r="K281" t="str">
        <f>IF(B281="", VLOOKUP(C281, Mapping!A:B, 2, FALSE), B281)</f>
        <v>South</v>
      </c>
      <c r="L281" t="str">
        <f t="shared" si="12"/>
        <v>Food</v>
      </c>
      <c r="M281">
        <f>IF(H281="", AVERAGEIF(Dataset!D:D, D281, Dataset!H:H), H281)</f>
        <v>329</v>
      </c>
      <c r="N281">
        <f>IF(I281="", AVERAGEIF(Dataset!D:D, D281, Dataset!I:I), I281)</f>
        <v>33.94</v>
      </c>
      <c r="O281">
        <f t="shared" si="13"/>
        <v>11166.259999999998</v>
      </c>
      <c r="P281">
        <f t="shared" si="14"/>
        <v>3592.6799999999994</v>
      </c>
    </row>
    <row r="282" spans="1:16" ht="15" thickBot="1" x14ac:dyDescent="0.35">
      <c r="A282" s="1" t="s">
        <v>309</v>
      </c>
      <c r="B282" s="1" t="s">
        <v>17</v>
      </c>
      <c r="C282" s="1" t="s">
        <v>18</v>
      </c>
      <c r="D282" s="1" t="s">
        <v>23</v>
      </c>
      <c r="E282" s="1" t="s">
        <v>14</v>
      </c>
      <c r="F282" s="1" t="s">
        <v>28</v>
      </c>
      <c r="G282" s="2">
        <v>45207</v>
      </c>
      <c r="H282" s="3">
        <v>347</v>
      </c>
      <c r="I282" s="3">
        <v>75.180000000000007</v>
      </c>
      <c r="J282" s="3">
        <v>195.67</v>
      </c>
      <c r="K282" t="str">
        <f>IF(B282="", VLOOKUP(C282, Mapping!A:B, 2, FALSE), B282)</f>
        <v>West</v>
      </c>
      <c r="L282" t="str">
        <f t="shared" si="12"/>
        <v>Clothing</v>
      </c>
      <c r="M282">
        <f>IF(H282="", AVERAGEIF(Dataset!D:D, D282, Dataset!H:H), H282)</f>
        <v>347</v>
      </c>
      <c r="N282">
        <f>IF(I282="", AVERAGEIF(Dataset!D:D, D282, Dataset!I:I), I282)</f>
        <v>75.180000000000007</v>
      </c>
      <c r="O282">
        <f t="shared" si="13"/>
        <v>26087.460000000003</v>
      </c>
      <c r="P282">
        <f t="shared" si="14"/>
        <v>0</v>
      </c>
    </row>
    <row r="283" spans="1:16" ht="29.4" thickBot="1" x14ac:dyDescent="0.35">
      <c r="A283" s="1" t="s">
        <v>310</v>
      </c>
      <c r="B283" s="1" t="s">
        <v>17</v>
      </c>
      <c r="C283" s="1" t="s">
        <v>18</v>
      </c>
      <c r="D283" s="1" t="s">
        <v>42</v>
      </c>
      <c r="E283" s="1" t="s">
        <v>24</v>
      </c>
      <c r="F283" s="1" t="s">
        <v>15</v>
      </c>
      <c r="G283" s="2">
        <v>45208</v>
      </c>
      <c r="H283" s="3">
        <v>375</v>
      </c>
      <c r="I283" s="3">
        <v>140.9</v>
      </c>
      <c r="J283" s="3">
        <v>240.55</v>
      </c>
      <c r="K283" t="str">
        <f>IF(B283="", VLOOKUP(C283, Mapping!A:B, 2, FALSE), B283)</f>
        <v>West</v>
      </c>
      <c r="L283" t="str">
        <f t="shared" si="12"/>
        <v>Electronics</v>
      </c>
      <c r="M283">
        <f>IF(H283="", AVERAGEIF(Dataset!D:D, D283, Dataset!H:H), H283)</f>
        <v>375</v>
      </c>
      <c r="N283">
        <f>IF(I283="", AVERAGEIF(Dataset!D:D, D283, Dataset!I:I), I283)</f>
        <v>140.9</v>
      </c>
      <c r="O283">
        <f t="shared" si="13"/>
        <v>52837.5</v>
      </c>
      <c r="P283">
        <f t="shared" si="14"/>
        <v>0</v>
      </c>
    </row>
    <row r="284" spans="1:16" ht="15" thickBot="1" x14ac:dyDescent="0.35">
      <c r="A284" s="1" t="s">
        <v>311</v>
      </c>
      <c r="B284" s="1" t="s">
        <v>48</v>
      </c>
      <c r="C284" s="1" t="s">
        <v>18</v>
      </c>
      <c r="D284" s="1" t="s">
        <v>23</v>
      </c>
      <c r="E284" s="1" t="s">
        <v>14</v>
      </c>
      <c r="F284" s="1" t="s">
        <v>15</v>
      </c>
      <c r="G284" s="2">
        <v>45209</v>
      </c>
      <c r="H284" s="3">
        <v>104</v>
      </c>
      <c r="I284" s="3">
        <v>300.54000000000002</v>
      </c>
      <c r="J284" s="3">
        <v>241.65</v>
      </c>
      <c r="K284" t="str">
        <f>IF(B284="", VLOOKUP(C284, Mapping!A:B, 2, FALSE), B284)</f>
        <v>South</v>
      </c>
      <c r="L284" t="str">
        <f t="shared" si="12"/>
        <v>Clothing</v>
      </c>
      <c r="M284">
        <f>IF(H284="", AVERAGEIF(Dataset!D:D, D284, Dataset!H:H), H284)</f>
        <v>104</v>
      </c>
      <c r="N284">
        <f>IF(I284="", AVERAGEIF(Dataset!D:D, D284, Dataset!I:I), I284)</f>
        <v>300.54000000000002</v>
      </c>
      <c r="O284">
        <f t="shared" si="13"/>
        <v>31256.160000000003</v>
      </c>
      <c r="P284">
        <f t="shared" si="14"/>
        <v>6124.5600000000013</v>
      </c>
    </row>
    <row r="285" spans="1:16" ht="15" thickBot="1" x14ac:dyDescent="0.35">
      <c r="A285" s="1" t="s">
        <v>312</v>
      </c>
      <c r="B285" s="1" t="s">
        <v>11</v>
      </c>
      <c r="C285" s="1" t="s">
        <v>12</v>
      </c>
      <c r="D285" s="1"/>
      <c r="E285" s="1" t="s">
        <v>14</v>
      </c>
      <c r="F285" s="1" t="s">
        <v>15</v>
      </c>
      <c r="G285" s="2">
        <v>45210</v>
      </c>
      <c r="H285" s="3">
        <v>175</v>
      </c>
      <c r="I285" s="3">
        <v>339.54</v>
      </c>
      <c r="J285" s="3">
        <v>11.13</v>
      </c>
      <c r="K285" t="str">
        <f>IF(B285="", VLOOKUP(C285, Mapping!A:B, 2, FALSE), B285)</f>
        <v>East</v>
      </c>
      <c r="L285" t="str">
        <f t="shared" si="12"/>
        <v>Food</v>
      </c>
      <c r="M285">
        <f>IF(H285="", AVERAGEIF(Dataset!D:D, D285, Dataset!H:H), H285)</f>
        <v>175</v>
      </c>
      <c r="N285">
        <f>IF(I285="", AVERAGEIF(Dataset!D:D, D285, Dataset!I:I), I285)</f>
        <v>339.54</v>
      </c>
      <c r="O285">
        <f t="shared" si="13"/>
        <v>59419.5</v>
      </c>
      <c r="P285">
        <f t="shared" si="14"/>
        <v>57471.750000000007</v>
      </c>
    </row>
    <row r="286" spans="1:16" ht="29.4" thickBot="1" x14ac:dyDescent="0.35">
      <c r="A286" s="1" t="s">
        <v>313</v>
      </c>
      <c r="B286" s="1" t="s">
        <v>48</v>
      </c>
      <c r="C286" s="1" t="s">
        <v>18</v>
      </c>
      <c r="D286" s="1" t="s">
        <v>13</v>
      </c>
      <c r="E286" s="1" t="s">
        <v>14</v>
      </c>
      <c r="F286" s="1" t="s">
        <v>20</v>
      </c>
      <c r="G286" s="2">
        <v>45211</v>
      </c>
      <c r="H286" s="3">
        <v>41</v>
      </c>
      <c r="I286" s="3">
        <v>224.14</v>
      </c>
      <c r="J286" s="3">
        <v>130.19999999999999</v>
      </c>
      <c r="K286" t="str">
        <f>IF(B286="", VLOOKUP(C286, Mapping!A:B, 2, FALSE), B286)</f>
        <v>South</v>
      </c>
      <c r="L286" t="str">
        <f t="shared" si="12"/>
        <v>Beverages</v>
      </c>
      <c r="M286">
        <f>IF(H286="", AVERAGEIF(Dataset!D:D, D286, Dataset!H:H), H286)</f>
        <v>41</v>
      </c>
      <c r="N286">
        <f>IF(I286="", AVERAGEIF(Dataset!D:D, D286, Dataset!I:I), I286)</f>
        <v>224.14</v>
      </c>
      <c r="O286">
        <f t="shared" si="13"/>
        <v>9189.74</v>
      </c>
      <c r="P286">
        <f t="shared" si="14"/>
        <v>3851.54</v>
      </c>
    </row>
    <row r="287" spans="1:16" ht="15" thickBot="1" x14ac:dyDescent="0.35">
      <c r="A287" s="1" t="s">
        <v>314</v>
      </c>
      <c r="B287" s="1" t="s">
        <v>11</v>
      </c>
      <c r="C287" s="1" t="s">
        <v>50</v>
      </c>
      <c r="D287" s="1" t="s">
        <v>19</v>
      </c>
      <c r="E287" s="1" t="s">
        <v>14</v>
      </c>
      <c r="F287" s="1" t="s">
        <v>28</v>
      </c>
      <c r="G287" s="2">
        <v>45212</v>
      </c>
      <c r="H287" s="3">
        <v>20</v>
      </c>
      <c r="I287" s="3">
        <v>225.67</v>
      </c>
      <c r="J287" s="3">
        <v>255.32</v>
      </c>
      <c r="K287" t="str">
        <f>IF(B287="", VLOOKUP(C287, Mapping!A:B, 2, FALSE), B287)</f>
        <v>East</v>
      </c>
      <c r="L287" t="str">
        <f t="shared" si="12"/>
        <v>Food</v>
      </c>
      <c r="M287">
        <f>IF(H287="", AVERAGEIF(Dataset!D:D, D287, Dataset!H:H), H287)</f>
        <v>20</v>
      </c>
      <c r="N287">
        <f>IF(I287="", AVERAGEIF(Dataset!D:D, D287, Dataset!I:I), I287)</f>
        <v>225.67</v>
      </c>
      <c r="O287">
        <f t="shared" si="13"/>
        <v>4513.3999999999996</v>
      </c>
      <c r="P287">
        <f t="shared" si="14"/>
        <v>0</v>
      </c>
    </row>
    <row r="288" spans="1:16" ht="15" thickBot="1" x14ac:dyDescent="0.35">
      <c r="A288" s="1" t="s">
        <v>315</v>
      </c>
      <c r="B288" s="1" t="s">
        <v>22</v>
      </c>
      <c r="C288" s="1" t="s">
        <v>31</v>
      </c>
      <c r="D288" s="1" t="s">
        <v>27</v>
      </c>
      <c r="E288" s="1" t="s">
        <v>24</v>
      </c>
      <c r="F288" s="1" t="s">
        <v>20</v>
      </c>
      <c r="G288" s="2">
        <v>45213</v>
      </c>
      <c r="H288" s="3">
        <v>310</v>
      </c>
      <c r="I288" s="3">
        <v>363.64</v>
      </c>
      <c r="J288" s="3">
        <v>61.3</v>
      </c>
      <c r="K288" t="str">
        <f>IF(B288="", VLOOKUP(C288, Mapping!A:B, 2, FALSE), B288)</f>
        <v>North</v>
      </c>
      <c r="L288" t="str">
        <f t="shared" si="12"/>
        <v>Furniture</v>
      </c>
      <c r="M288">
        <f>IF(H288="", AVERAGEIF(Dataset!D:D, D288, Dataset!H:H), H288)</f>
        <v>310</v>
      </c>
      <c r="N288">
        <f>IF(I288="", AVERAGEIF(Dataset!D:D, D288, Dataset!I:I), I288)</f>
        <v>363.64</v>
      </c>
      <c r="O288">
        <f t="shared" si="13"/>
        <v>112728.4</v>
      </c>
      <c r="P288">
        <f t="shared" si="14"/>
        <v>93725.4</v>
      </c>
    </row>
    <row r="289" spans="1:16" ht="15" thickBot="1" x14ac:dyDescent="0.35">
      <c r="A289" s="1" t="s">
        <v>316</v>
      </c>
      <c r="B289" s="1" t="s">
        <v>22</v>
      </c>
      <c r="C289" s="1" t="s">
        <v>31</v>
      </c>
      <c r="D289" s="1" t="s">
        <v>19</v>
      </c>
      <c r="E289" s="1" t="s">
        <v>24</v>
      </c>
      <c r="F289" s="1" t="s">
        <v>20</v>
      </c>
      <c r="G289" s="2">
        <v>45214</v>
      </c>
      <c r="H289" s="3">
        <v>226</v>
      </c>
      <c r="I289" s="1"/>
      <c r="J289" s="3">
        <v>278.77999999999997</v>
      </c>
      <c r="K289" t="str">
        <f>IF(B289="", VLOOKUP(C289, Mapping!A:B, 2, FALSE), B289)</f>
        <v>North</v>
      </c>
      <c r="L289" t="str">
        <f t="shared" si="12"/>
        <v>Food</v>
      </c>
      <c r="M289">
        <f>IF(H289="", AVERAGEIF(Dataset!D:D, D289, Dataset!H:H), H289)</f>
        <v>226</v>
      </c>
      <c r="N289">
        <f>IF(I289="", AVERAGEIF(Dataset!D:D, D289, Dataset!I:I), I289)</f>
        <v>259.99928571428569</v>
      </c>
      <c r="O289" t="str">
        <f t="shared" si="13"/>
        <v/>
      </c>
      <c r="P289">
        <f t="shared" si="14"/>
        <v>0</v>
      </c>
    </row>
    <row r="290" spans="1:16" ht="15" thickBot="1" x14ac:dyDescent="0.35">
      <c r="A290" s="1" t="s">
        <v>317</v>
      </c>
      <c r="B290" s="1" t="s">
        <v>22</v>
      </c>
      <c r="C290" s="1" t="s">
        <v>18</v>
      </c>
      <c r="D290" s="1" t="s">
        <v>19</v>
      </c>
      <c r="E290" s="1" t="s">
        <v>24</v>
      </c>
      <c r="F290" s="1" t="s">
        <v>28</v>
      </c>
      <c r="G290" s="2">
        <v>45215</v>
      </c>
      <c r="H290" s="1"/>
      <c r="I290" s="3">
        <v>173.84</v>
      </c>
      <c r="J290" s="3">
        <v>298.88</v>
      </c>
      <c r="K290" t="str">
        <f>IF(B290="", VLOOKUP(C290, Mapping!A:B, 2, FALSE), B290)</f>
        <v>North</v>
      </c>
      <c r="L290" t="str">
        <f t="shared" si="12"/>
        <v>Food</v>
      </c>
      <c r="M290">
        <f>IF(H290="", AVERAGEIF(Dataset!D:D, D290, Dataset!H:H), H290)</f>
        <v>266.39655172413791</v>
      </c>
      <c r="N290">
        <f>IF(I290="", AVERAGEIF(Dataset!D:D, D290, Dataset!I:I), I290)</f>
        <v>173.84</v>
      </c>
      <c r="O290" t="str">
        <f t="shared" si="13"/>
        <v/>
      </c>
      <c r="P290">
        <f t="shared" si="14"/>
        <v>0</v>
      </c>
    </row>
    <row r="291" spans="1:16" ht="15" thickBot="1" x14ac:dyDescent="0.35">
      <c r="A291" s="1" t="s">
        <v>318</v>
      </c>
      <c r="B291" s="1" t="s">
        <v>17</v>
      </c>
      <c r="C291" s="1" t="s">
        <v>12</v>
      </c>
      <c r="D291" s="1" t="s">
        <v>23</v>
      </c>
      <c r="E291" s="1" t="s">
        <v>14</v>
      </c>
      <c r="F291" s="1" t="s">
        <v>20</v>
      </c>
      <c r="G291" s="2">
        <v>45216</v>
      </c>
      <c r="H291" s="3">
        <v>111</v>
      </c>
      <c r="I291" s="3">
        <v>410.26</v>
      </c>
      <c r="J291" s="3">
        <v>392.82</v>
      </c>
      <c r="K291" t="str">
        <f>IF(B291="", VLOOKUP(C291, Mapping!A:B, 2, FALSE), B291)</f>
        <v>West</v>
      </c>
      <c r="L291" t="str">
        <f t="shared" si="12"/>
        <v>Clothing</v>
      </c>
      <c r="M291">
        <f>IF(H291="", AVERAGEIF(Dataset!D:D, D291, Dataset!H:H), H291)</f>
        <v>111</v>
      </c>
      <c r="N291">
        <f>IF(I291="", AVERAGEIF(Dataset!D:D, D291, Dataset!I:I), I291)</f>
        <v>410.26</v>
      </c>
      <c r="O291">
        <f t="shared" si="13"/>
        <v>45538.86</v>
      </c>
      <c r="P291">
        <f t="shared" si="14"/>
        <v>1935.8399999999997</v>
      </c>
    </row>
    <row r="292" spans="1:16" ht="15" thickBot="1" x14ac:dyDescent="0.35">
      <c r="A292" s="1" t="s">
        <v>319</v>
      </c>
      <c r="B292" s="1" t="s">
        <v>22</v>
      </c>
      <c r="C292" s="1" t="s">
        <v>12</v>
      </c>
      <c r="D292" s="1" t="s">
        <v>19</v>
      </c>
      <c r="E292" s="1" t="s">
        <v>24</v>
      </c>
      <c r="F292" s="1" t="s">
        <v>28</v>
      </c>
      <c r="G292" s="2">
        <v>45217</v>
      </c>
      <c r="H292" s="3">
        <v>434</v>
      </c>
      <c r="I292" s="3">
        <v>303.58999999999997</v>
      </c>
      <c r="J292" s="3">
        <v>85.52</v>
      </c>
      <c r="K292" t="str">
        <f>IF(B292="", VLOOKUP(C292, Mapping!A:B, 2, FALSE), B292)</f>
        <v>North</v>
      </c>
      <c r="L292" t="str">
        <f t="shared" si="12"/>
        <v>Food</v>
      </c>
      <c r="M292">
        <f>IF(H292="", AVERAGEIF(Dataset!D:D, D292, Dataset!H:H), H292)</f>
        <v>434</v>
      </c>
      <c r="N292">
        <f>IF(I292="", AVERAGEIF(Dataset!D:D, D292, Dataset!I:I), I292)</f>
        <v>303.58999999999997</v>
      </c>
      <c r="O292">
        <f t="shared" si="13"/>
        <v>131758.06</v>
      </c>
      <c r="P292">
        <f t="shared" si="14"/>
        <v>94642.37999999999</v>
      </c>
    </row>
    <row r="293" spans="1:16" ht="29.4" thickBot="1" x14ac:dyDescent="0.35">
      <c r="A293" s="1" t="s">
        <v>320</v>
      </c>
      <c r="B293" s="1" t="s">
        <v>11</v>
      </c>
      <c r="C293" s="1" t="s">
        <v>50</v>
      </c>
      <c r="D293" s="1" t="s">
        <v>42</v>
      </c>
      <c r="E293" s="1" t="s">
        <v>24</v>
      </c>
      <c r="F293" s="1" t="s">
        <v>15</v>
      </c>
      <c r="G293" s="2">
        <v>45218</v>
      </c>
      <c r="H293" s="3">
        <v>401</v>
      </c>
      <c r="I293" s="3">
        <v>171.93</v>
      </c>
      <c r="J293" s="3">
        <v>330.4</v>
      </c>
      <c r="K293" t="str">
        <f>IF(B293="", VLOOKUP(C293, Mapping!A:B, 2, FALSE), B293)</f>
        <v>East</v>
      </c>
      <c r="L293" t="str">
        <f t="shared" si="12"/>
        <v>Electronics</v>
      </c>
      <c r="M293">
        <f>IF(H293="", AVERAGEIF(Dataset!D:D, D293, Dataset!H:H), H293)</f>
        <v>401</v>
      </c>
      <c r="N293">
        <f>IF(I293="", AVERAGEIF(Dataset!D:D, D293, Dataset!I:I), I293)</f>
        <v>171.93</v>
      </c>
      <c r="O293">
        <f t="shared" si="13"/>
        <v>68943.930000000008</v>
      </c>
      <c r="P293">
        <f t="shared" si="14"/>
        <v>0</v>
      </c>
    </row>
    <row r="294" spans="1:16" ht="15" thickBot="1" x14ac:dyDescent="0.35">
      <c r="A294" s="1" t="s">
        <v>321</v>
      </c>
      <c r="B294" s="1" t="s">
        <v>22</v>
      </c>
      <c r="C294" s="1" t="s">
        <v>18</v>
      </c>
      <c r="D294" s="1" t="s">
        <v>23</v>
      </c>
      <c r="E294" s="1" t="s">
        <v>24</v>
      </c>
      <c r="F294" s="1" t="s">
        <v>28</v>
      </c>
      <c r="G294" s="2">
        <v>45219</v>
      </c>
      <c r="H294" s="3">
        <v>276</v>
      </c>
      <c r="I294" s="3">
        <v>453.23</v>
      </c>
      <c r="J294" s="3">
        <v>209.08</v>
      </c>
      <c r="K294" t="str">
        <f>IF(B294="", VLOOKUP(C294, Mapping!A:B, 2, FALSE), B294)</f>
        <v>North</v>
      </c>
      <c r="L294" t="str">
        <f t="shared" si="12"/>
        <v>Clothing</v>
      </c>
      <c r="M294">
        <f>IF(H294="", AVERAGEIF(Dataset!D:D, D294, Dataset!H:H), H294)</f>
        <v>276</v>
      </c>
      <c r="N294">
        <f>IF(I294="", AVERAGEIF(Dataset!D:D, D294, Dataset!I:I), I294)</f>
        <v>453.23</v>
      </c>
      <c r="O294">
        <f t="shared" si="13"/>
        <v>125091.48000000001</v>
      </c>
      <c r="P294">
        <f t="shared" si="14"/>
        <v>67385.400000000009</v>
      </c>
    </row>
    <row r="295" spans="1:16" ht="29.4" thickBot="1" x14ac:dyDescent="0.35">
      <c r="A295" s="1" t="s">
        <v>322</v>
      </c>
      <c r="B295" s="1" t="s">
        <v>48</v>
      </c>
      <c r="C295" s="1" t="s">
        <v>31</v>
      </c>
      <c r="D295" s="1" t="s">
        <v>42</v>
      </c>
      <c r="E295" s="1" t="s">
        <v>14</v>
      </c>
      <c r="F295" s="1" t="s">
        <v>15</v>
      </c>
      <c r="G295" s="2">
        <v>45220</v>
      </c>
      <c r="H295" s="1"/>
      <c r="I295" s="3">
        <v>387.45</v>
      </c>
      <c r="J295" s="3">
        <v>150.63999999999999</v>
      </c>
      <c r="K295" t="str">
        <f>IF(B295="", VLOOKUP(C295, Mapping!A:B, 2, FALSE), B295)</f>
        <v>South</v>
      </c>
      <c r="L295" t="str">
        <f t="shared" si="12"/>
        <v>Electronics</v>
      </c>
      <c r="M295">
        <f>IF(H295="", AVERAGEIF(Dataset!D:D, D295, Dataset!H:H), H295)</f>
        <v>253.59701492537314</v>
      </c>
      <c r="N295">
        <f>IF(I295="", AVERAGEIF(Dataset!D:D, D295, Dataset!I:I), I295)</f>
        <v>387.45</v>
      </c>
      <c r="O295" t="str">
        <f t="shared" si="13"/>
        <v/>
      </c>
      <c r="P295">
        <f t="shared" si="14"/>
        <v>0</v>
      </c>
    </row>
    <row r="296" spans="1:16" ht="15" thickBot="1" x14ac:dyDescent="0.35">
      <c r="A296" s="1" t="s">
        <v>323</v>
      </c>
      <c r="B296" s="1" t="s">
        <v>48</v>
      </c>
      <c r="C296" s="1" t="s">
        <v>12</v>
      </c>
      <c r="D296" s="1" t="s">
        <v>27</v>
      </c>
      <c r="E296" s="1" t="s">
        <v>14</v>
      </c>
      <c r="F296" s="1" t="s">
        <v>20</v>
      </c>
      <c r="G296" s="2">
        <v>45221</v>
      </c>
      <c r="H296" s="3">
        <v>188</v>
      </c>
      <c r="I296" s="3">
        <v>136.12</v>
      </c>
      <c r="J296" s="3">
        <v>50.71</v>
      </c>
      <c r="K296" t="str">
        <f>IF(B296="", VLOOKUP(C296, Mapping!A:B, 2, FALSE), B296)</f>
        <v>South</v>
      </c>
      <c r="L296" t="str">
        <f t="shared" si="12"/>
        <v>Furniture</v>
      </c>
      <c r="M296">
        <f>IF(H296="", AVERAGEIF(Dataset!D:D, D296, Dataset!H:H), H296)</f>
        <v>188</v>
      </c>
      <c r="N296">
        <f>IF(I296="", AVERAGEIF(Dataset!D:D, D296, Dataset!I:I), I296)</f>
        <v>136.12</v>
      </c>
      <c r="O296">
        <f t="shared" si="13"/>
        <v>25590.560000000001</v>
      </c>
      <c r="P296">
        <f t="shared" si="14"/>
        <v>16057.08</v>
      </c>
    </row>
    <row r="297" spans="1:16" ht="15" thickBot="1" x14ac:dyDescent="0.35">
      <c r="A297" s="1" t="s">
        <v>324</v>
      </c>
      <c r="B297" s="1" t="s">
        <v>17</v>
      </c>
      <c r="C297" s="1" t="s">
        <v>18</v>
      </c>
      <c r="D297" s="1" t="s">
        <v>23</v>
      </c>
      <c r="E297" s="1" t="s">
        <v>14</v>
      </c>
      <c r="F297" s="1" t="s">
        <v>20</v>
      </c>
      <c r="G297" s="2">
        <v>45222</v>
      </c>
      <c r="H297" s="3">
        <v>97</v>
      </c>
      <c r="I297" s="3">
        <v>324.42</v>
      </c>
      <c r="J297" s="3">
        <v>294.73</v>
      </c>
      <c r="K297" t="str">
        <f>IF(B297="", VLOOKUP(C297, Mapping!A:B, 2, FALSE), B297)</f>
        <v>West</v>
      </c>
      <c r="L297" t="str">
        <f t="shared" si="12"/>
        <v>Clothing</v>
      </c>
      <c r="M297">
        <f>IF(H297="", AVERAGEIF(Dataset!D:D, D297, Dataset!H:H), H297)</f>
        <v>97</v>
      </c>
      <c r="N297">
        <f>IF(I297="", AVERAGEIF(Dataset!D:D, D297, Dataset!I:I), I297)</f>
        <v>324.42</v>
      </c>
      <c r="O297">
        <f t="shared" si="13"/>
        <v>31468.74</v>
      </c>
      <c r="P297">
        <f t="shared" si="14"/>
        <v>2879.93</v>
      </c>
    </row>
    <row r="298" spans="1:16" ht="15" thickBot="1" x14ac:dyDescent="0.35">
      <c r="A298" s="1" t="s">
        <v>325</v>
      </c>
      <c r="B298" s="1" t="s">
        <v>48</v>
      </c>
      <c r="C298" s="1" t="s">
        <v>12</v>
      </c>
      <c r="D298" s="1" t="s">
        <v>27</v>
      </c>
      <c r="E298" s="1" t="s">
        <v>24</v>
      </c>
      <c r="F298" s="1" t="s">
        <v>15</v>
      </c>
      <c r="G298" s="2">
        <v>45223</v>
      </c>
      <c r="H298" s="3">
        <v>50</v>
      </c>
      <c r="I298" s="3">
        <v>299.89999999999998</v>
      </c>
      <c r="J298" s="3">
        <v>95.87</v>
      </c>
      <c r="K298" t="str">
        <f>IF(B298="", VLOOKUP(C298, Mapping!A:B, 2, FALSE), B298)</f>
        <v>South</v>
      </c>
      <c r="L298" t="str">
        <f t="shared" si="12"/>
        <v>Furniture</v>
      </c>
      <c r="M298">
        <f>IF(H298="", AVERAGEIF(Dataset!D:D, D298, Dataset!H:H), H298)</f>
        <v>50</v>
      </c>
      <c r="N298">
        <f>IF(I298="", AVERAGEIF(Dataset!D:D, D298, Dataset!I:I), I298)</f>
        <v>299.89999999999998</v>
      </c>
      <c r="O298">
        <f t="shared" si="13"/>
        <v>14994.999999999998</v>
      </c>
      <c r="P298">
        <f t="shared" si="14"/>
        <v>10201.499999999998</v>
      </c>
    </row>
    <row r="299" spans="1:16" ht="15" thickBot="1" x14ac:dyDescent="0.35">
      <c r="A299" s="1" t="s">
        <v>326</v>
      </c>
      <c r="B299" s="1" t="s">
        <v>11</v>
      </c>
      <c r="C299" s="1" t="s">
        <v>12</v>
      </c>
      <c r="D299" s="1" t="s">
        <v>23</v>
      </c>
      <c r="E299" s="1" t="s">
        <v>24</v>
      </c>
      <c r="F299" s="1" t="s">
        <v>20</v>
      </c>
      <c r="G299" s="2">
        <v>45224</v>
      </c>
      <c r="H299" s="3">
        <v>410</v>
      </c>
      <c r="I299" s="3">
        <v>203.59</v>
      </c>
      <c r="J299" s="3">
        <v>149.83000000000001</v>
      </c>
      <c r="K299" t="str">
        <f>IF(B299="", VLOOKUP(C299, Mapping!A:B, 2, FALSE), B299)</f>
        <v>East</v>
      </c>
      <c r="L299" t="str">
        <f t="shared" si="12"/>
        <v>Clothing</v>
      </c>
      <c r="M299">
        <f>IF(H299="", AVERAGEIF(Dataset!D:D, D299, Dataset!H:H), H299)</f>
        <v>410</v>
      </c>
      <c r="N299">
        <f>IF(I299="", AVERAGEIF(Dataset!D:D, D299, Dataset!I:I), I299)</f>
        <v>203.59</v>
      </c>
      <c r="O299">
        <f t="shared" si="13"/>
        <v>83471.899999999994</v>
      </c>
      <c r="P299">
        <f t="shared" si="14"/>
        <v>22041.599999999995</v>
      </c>
    </row>
    <row r="300" spans="1:16" ht="29.4" thickBot="1" x14ac:dyDescent="0.35">
      <c r="A300" s="1" t="s">
        <v>327</v>
      </c>
      <c r="B300" s="1" t="s">
        <v>22</v>
      </c>
      <c r="C300" s="1" t="s">
        <v>31</v>
      </c>
      <c r="D300" s="1" t="s">
        <v>13</v>
      </c>
      <c r="E300" s="1" t="s">
        <v>24</v>
      </c>
      <c r="F300" s="1" t="s">
        <v>28</v>
      </c>
      <c r="G300" s="2">
        <v>45225</v>
      </c>
      <c r="H300" s="3">
        <v>85</v>
      </c>
      <c r="I300" s="3">
        <v>186.64</v>
      </c>
      <c r="J300" s="3">
        <v>26.89</v>
      </c>
      <c r="K300" t="str">
        <f>IF(B300="", VLOOKUP(C300, Mapping!A:B, 2, FALSE), B300)</f>
        <v>North</v>
      </c>
      <c r="L300" t="str">
        <f t="shared" si="12"/>
        <v>Beverages</v>
      </c>
      <c r="M300">
        <f>IF(H300="", AVERAGEIF(Dataset!D:D, D300, Dataset!H:H), H300)</f>
        <v>85</v>
      </c>
      <c r="N300">
        <f>IF(I300="", AVERAGEIF(Dataset!D:D, D300, Dataset!I:I), I300)</f>
        <v>186.64</v>
      </c>
      <c r="O300">
        <f t="shared" si="13"/>
        <v>15864.4</v>
      </c>
      <c r="P300">
        <f t="shared" si="14"/>
        <v>13578.75</v>
      </c>
    </row>
    <row r="301" spans="1:16" ht="15" thickBot="1" x14ac:dyDescent="0.35">
      <c r="A301" s="1" t="s">
        <v>328</v>
      </c>
      <c r="B301" s="1" t="s">
        <v>17</v>
      </c>
      <c r="C301" s="1" t="s">
        <v>26</v>
      </c>
      <c r="D301" s="1" t="s">
        <v>19</v>
      </c>
      <c r="E301" s="1" t="s">
        <v>14</v>
      </c>
      <c r="F301" s="1" t="s">
        <v>15</v>
      </c>
      <c r="G301" s="2">
        <v>45226</v>
      </c>
      <c r="H301" s="3">
        <v>386</v>
      </c>
      <c r="I301" s="3">
        <v>175.06</v>
      </c>
      <c r="J301" s="3">
        <v>320.94</v>
      </c>
      <c r="K301" t="str">
        <f>IF(B301="", VLOOKUP(C301, Mapping!A:B, 2, FALSE), B301)</f>
        <v>West</v>
      </c>
      <c r="L301" t="str">
        <f t="shared" si="12"/>
        <v>Food</v>
      </c>
      <c r="M301">
        <f>IF(H301="", AVERAGEIF(Dataset!D:D, D301, Dataset!H:H), H301)</f>
        <v>386</v>
      </c>
      <c r="N301">
        <f>IF(I301="", AVERAGEIF(Dataset!D:D, D301, Dataset!I:I), I301)</f>
        <v>175.06</v>
      </c>
      <c r="O301">
        <f t="shared" si="13"/>
        <v>67573.16</v>
      </c>
      <c r="P301">
        <f t="shared" si="14"/>
        <v>0</v>
      </c>
    </row>
    <row r="302" spans="1:16" ht="29.4" thickBot="1" x14ac:dyDescent="0.35">
      <c r="A302" s="1" t="s">
        <v>329</v>
      </c>
      <c r="B302" s="1" t="s">
        <v>22</v>
      </c>
      <c r="C302" s="1" t="s">
        <v>50</v>
      </c>
      <c r="D302" s="1" t="s">
        <v>13</v>
      </c>
      <c r="E302" s="1" t="s">
        <v>14</v>
      </c>
      <c r="F302" s="1" t="s">
        <v>20</v>
      </c>
      <c r="G302" s="2">
        <v>45227</v>
      </c>
      <c r="H302" s="3">
        <v>55</v>
      </c>
      <c r="I302" s="3">
        <v>310.49</v>
      </c>
      <c r="J302" s="3">
        <v>307.10000000000002</v>
      </c>
      <c r="K302" t="str">
        <f>IF(B302="", VLOOKUP(C302, Mapping!A:B, 2, FALSE), B302)</f>
        <v>North</v>
      </c>
      <c r="L302" t="str">
        <f t="shared" si="12"/>
        <v>Beverages</v>
      </c>
      <c r="M302">
        <f>IF(H302="", AVERAGEIF(Dataset!D:D, D302, Dataset!H:H), H302)</f>
        <v>55</v>
      </c>
      <c r="N302">
        <f>IF(I302="", AVERAGEIF(Dataset!D:D, D302, Dataset!I:I), I302)</f>
        <v>310.49</v>
      </c>
      <c r="O302">
        <f t="shared" si="13"/>
        <v>17076.95</v>
      </c>
      <c r="P302">
        <f t="shared" si="14"/>
        <v>186.44999999999925</v>
      </c>
    </row>
    <row r="303" spans="1:16" ht="15" thickBot="1" x14ac:dyDescent="0.35">
      <c r="A303" s="1" t="s">
        <v>330</v>
      </c>
      <c r="B303" s="1" t="s">
        <v>22</v>
      </c>
      <c r="C303" s="1" t="s">
        <v>50</v>
      </c>
      <c r="D303" s="1" t="s">
        <v>27</v>
      </c>
      <c r="E303" s="1" t="s">
        <v>24</v>
      </c>
      <c r="F303" s="1" t="s">
        <v>15</v>
      </c>
      <c r="G303" s="2">
        <v>45228</v>
      </c>
      <c r="H303" s="3">
        <v>169</v>
      </c>
      <c r="I303" s="3">
        <v>223.99</v>
      </c>
      <c r="J303" s="3">
        <v>293.98</v>
      </c>
      <c r="K303" t="str">
        <f>IF(B303="", VLOOKUP(C303, Mapping!A:B, 2, FALSE), B303)</f>
        <v>North</v>
      </c>
      <c r="L303" t="str">
        <f t="shared" si="12"/>
        <v>Furniture</v>
      </c>
      <c r="M303">
        <f>IF(H303="", AVERAGEIF(Dataset!D:D, D303, Dataset!H:H), H303)</f>
        <v>169</v>
      </c>
      <c r="N303">
        <f>IF(I303="", AVERAGEIF(Dataset!D:D, D303, Dataset!I:I), I303)</f>
        <v>223.99</v>
      </c>
      <c r="O303">
        <f t="shared" si="13"/>
        <v>37854.310000000005</v>
      </c>
      <c r="P303">
        <f t="shared" si="14"/>
        <v>0</v>
      </c>
    </row>
    <row r="304" spans="1:16" ht="15" thickBot="1" x14ac:dyDescent="0.35">
      <c r="A304" s="1" t="s">
        <v>331</v>
      </c>
      <c r="B304" s="1" t="s">
        <v>11</v>
      </c>
      <c r="C304" s="1" t="s">
        <v>31</v>
      </c>
      <c r="D304" s="1" t="s">
        <v>19</v>
      </c>
      <c r="E304" s="1" t="s">
        <v>14</v>
      </c>
      <c r="F304" s="1" t="s">
        <v>28</v>
      </c>
      <c r="G304" s="2">
        <v>45229</v>
      </c>
      <c r="H304" s="3">
        <v>472</v>
      </c>
      <c r="I304" s="3">
        <v>416.77</v>
      </c>
      <c r="J304" s="3">
        <v>121.18</v>
      </c>
      <c r="K304" t="str">
        <f>IF(B304="", VLOOKUP(C304, Mapping!A:B, 2, FALSE), B304)</f>
        <v>East</v>
      </c>
      <c r="L304" t="str">
        <f t="shared" si="12"/>
        <v>Food</v>
      </c>
      <c r="M304">
        <f>IF(H304="", AVERAGEIF(Dataset!D:D, D304, Dataset!H:H), H304)</f>
        <v>472</v>
      </c>
      <c r="N304">
        <f>IF(I304="", AVERAGEIF(Dataset!D:D, D304, Dataset!I:I), I304)</f>
        <v>416.77</v>
      </c>
      <c r="O304">
        <f t="shared" si="13"/>
        <v>196715.44</v>
      </c>
      <c r="P304">
        <f t="shared" si="14"/>
        <v>139518.47999999998</v>
      </c>
    </row>
    <row r="305" spans="1:16" ht="15" thickBot="1" x14ac:dyDescent="0.35">
      <c r="A305" s="1" t="s">
        <v>332</v>
      </c>
      <c r="B305" s="1" t="s">
        <v>48</v>
      </c>
      <c r="C305" s="1" t="s">
        <v>12</v>
      </c>
      <c r="D305" s="1" t="s">
        <v>23</v>
      </c>
      <c r="E305" s="1" t="s">
        <v>14</v>
      </c>
      <c r="F305" s="1" t="s">
        <v>28</v>
      </c>
      <c r="G305" s="2">
        <v>45230</v>
      </c>
      <c r="H305" s="3">
        <v>89</v>
      </c>
      <c r="I305" s="3">
        <v>336.45</v>
      </c>
      <c r="J305" s="3">
        <v>71.05</v>
      </c>
      <c r="K305" t="str">
        <f>IF(B305="", VLOOKUP(C305, Mapping!A:B, 2, FALSE), B305)</f>
        <v>South</v>
      </c>
      <c r="L305" t="str">
        <f t="shared" si="12"/>
        <v>Clothing</v>
      </c>
      <c r="M305">
        <f>IF(H305="", AVERAGEIF(Dataset!D:D, D305, Dataset!H:H), H305)</f>
        <v>89</v>
      </c>
      <c r="N305">
        <f>IF(I305="", AVERAGEIF(Dataset!D:D, D305, Dataset!I:I), I305)</f>
        <v>336.45</v>
      </c>
      <c r="O305">
        <f t="shared" si="13"/>
        <v>29944.05</v>
      </c>
      <c r="P305">
        <f t="shared" si="14"/>
        <v>23620.6</v>
      </c>
    </row>
    <row r="306" spans="1:16" ht="15" thickBot="1" x14ac:dyDescent="0.35">
      <c r="A306" s="1" t="s">
        <v>333</v>
      </c>
      <c r="B306" s="1" t="s">
        <v>48</v>
      </c>
      <c r="C306" s="1" t="s">
        <v>18</v>
      </c>
      <c r="D306" s="1" t="s">
        <v>19</v>
      </c>
      <c r="E306" s="1" t="s">
        <v>14</v>
      </c>
      <c r="F306" s="1" t="s">
        <v>20</v>
      </c>
      <c r="G306" s="2">
        <v>45231</v>
      </c>
      <c r="H306" s="3">
        <v>319</v>
      </c>
      <c r="I306" s="3">
        <v>39.619999999999997</v>
      </c>
      <c r="J306" s="3">
        <v>255.75</v>
      </c>
      <c r="K306" t="str">
        <f>IF(B306="", VLOOKUP(C306, Mapping!A:B, 2, FALSE), B306)</f>
        <v>South</v>
      </c>
      <c r="L306" t="str">
        <f t="shared" si="12"/>
        <v>Food</v>
      </c>
      <c r="M306">
        <f>IF(H306="", AVERAGEIF(Dataset!D:D, D306, Dataset!H:H), H306)</f>
        <v>319</v>
      </c>
      <c r="N306">
        <f>IF(I306="", AVERAGEIF(Dataset!D:D, D306, Dataset!I:I), I306)</f>
        <v>39.619999999999997</v>
      </c>
      <c r="O306">
        <f t="shared" si="13"/>
        <v>12638.779999999999</v>
      </c>
      <c r="P306">
        <f t="shared" si="14"/>
        <v>0</v>
      </c>
    </row>
    <row r="307" spans="1:16" ht="15" thickBot="1" x14ac:dyDescent="0.35">
      <c r="A307" s="1" t="s">
        <v>334</v>
      </c>
      <c r="B307" s="1" t="s">
        <v>22</v>
      </c>
      <c r="C307" s="1" t="s">
        <v>12</v>
      </c>
      <c r="D307" s="1"/>
      <c r="E307" s="1" t="s">
        <v>14</v>
      </c>
      <c r="F307" s="1" t="s">
        <v>28</v>
      </c>
      <c r="G307" s="2">
        <v>45232</v>
      </c>
      <c r="H307" s="3">
        <v>95</v>
      </c>
      <c r="I307" s="3">
        <v>321.88</v>
      </c>
      <c r="J307" s="3">
        <v>199.47</v>
      </c>
      <c r="K307" t="str">
        <f>IF(B307="", VLOOKUP(C307, Mapping!A:B, 2, FALSE), B307)</f>
        <v>North</v>
      </c>
      <c r="L307" t="str">
        <f t="shared" si="12"/>
        <v>Clothing</v>
      </c>
      <c r="M307">
        <f>IF(H307="", AVERAGEIF(Dataset!D:D, D307, Dataset!H:H), H307)</f>
        <v>95</v>
      </c>
      <c r="N307">
        <f>IF(I307="", AVERAGEIF(Dataset!D:D, D307, Dataset!I:I), I307)</f>
        <v>321.88</v>
      </c>
      <c r="O307">
        <f t="shared" si="13"/>
        <v>30578.6</v>
      </c>
      <c r="P307">
        <f t="shared" si="14"/>
        <v>11628.949999999999</v>
      </c>
    </row>
    <row r="308" spans="1:16" ht="15" thickBot="1" x14ac:dyDescent="0.35">
      <c r="A308" s="1" t="s">
        <v>335</v>
      </c>
      <c r="B308" s="1" t="s">
        <v>17</v>
      </c>
      <c r="C308" s="1" t="s">
        <v>31</v>
      </c>
      <c r="D308" s="1"/>
      <c r="E308" s="1" t="s">
        <v>24</v>
      </c>
      <c r="F308" s="1" t="s">
        <v>15</v>
      </c>
      <c r="G308" s="2">
        <v>45233</v>
      </c>
      <c r="H308" s="3">
        <v>101</v>
      </c>
      <c r="I308" s="3">
        <v>139.22</v>
      </c>
      <c r="J308" s="3">
        <v>72.94</v>
      </c>
      <c r="K308" t="str">
        <f>IF(B308="", VLOOKUP(C308, Mapping!A:B, 2, FALSE), B308)</f>
        <v>West</v>
      </c>
      <c r="L308" t="str">
        <f t="shared" si="12"/>
        <v>Food</v>
      </c>
      <c r="M308">
        <f>IF(H308="", AVERAGEIF(Dataset!D:D, D308, Dataset!H:H), H308)</f>
        <v>101</v>
      </c>
      <c r="N308">
        <f>IF(I308="", AVERAGEIF(Dataset!D:D, D308, Dataset!I:I), I308)</f>
        <v>139.22</v>
      </c>
      <c r="O308">
        <f t="shared" si="13"/>
        <v>14061.22</v>
      </c>
      <c r="P308">
        <f t="shared" si="14"/>
        <v>6694.28</v>
      </c>
    </row>
    <row r="309" spans="1:16" ht="15" thickBot="1" x14ac:dyDescent="0.35">
      <c r="A309" s="1" t="s">
        <v>336</v>
      </c>
      <c r="B309" s="1" t="s">
        <v>48</v>
      </c>
      <c r="C309" s="1" t="s">
        <v>50</v>
      </c>
      <c r="D309" s="1"/>
      <c r="E309" s="1" t="s">
        <v>14</v>
      </c>
      <c r="F309" s="1" t="s">
        <v>28</v>
      </c>
      <c r="G309" s="2">
        <v>45234</v>
      </c>
      <c r="H309" s="3">
        <v>157</v>
      </c>
      <c r="I309" s="1"/>
      <c r="J309" s="3">
        <v>274.99</v>
      </c>
      <c r="K309" t="str">
        <f>IF(B309="", VLOOKUP(C309, Mapping!A:B, 2, FALSE), B309)</f>
        <v>South</v>
      </c>
      <c r="L309" t="str">
        <f t="shared" si="12"/>
        <v>Food</v>
      </c>
      <c r="M309">
        <f>IF(H309="", AVERAGEIF(Dataset!D:D, D309, Dataset!H:H), H309)</f>
        <v>157</v>
      </c>
      <c r="N309" t="e">
        <f>IF(I309="", AVERAGEIF(Dataset!D:D, D309, Dataset!I:I), I309)</f>
        <v>#DIV/0!</v>
      </c>
      <c r="O309" t="str">
        <f t="shared" si="13"/>
        <v/>
      </c>
      <c r="P309">
        <f t="shared" si="14"/>
        <v>0</v>
      </c>
    </row>
    <row r="310" spans="1:16" ht="15" thickBot="1" x14ac:dyDescent="0.35">
      <c r="A310" s="1" t="s">
        <v>337</v>
      </c>
      <c r="B310" s="1" t="s">
        <v>17</v>
      </c>
      <c r="C310" s="1" t="s">
        <v>12</v>
      </c>
      <c r="D310" s="1" t="s">
        <v>19</v>
      </c>
      <c r="E310" s="1" t="s">
        <v>14</v>
      </c>
      <c r="F310" s="1" t="s">
        <v>15</v>
      </c>
      <c r="G310" s="2">
        <v>45235</v>
      </c>
      <c r="H310" s="3">
        <v>170</v>
      </c>
      <c r="I310" s="3">
        <v>341.67</v>
      </c>
      <c r="J310" s="3">
        <v>396.47</v>
      </c>
      <c r="K310" t="str">
        <f>IF(B310="", VLOOKUP(C310, Mapping!A:B, 2, FALSE), B310)</f>
        <v>West</v>
      </c>
      <c r="L310" t="str">
        <f t="shared" si="12"/>
        <v>Food</v>
      </c>
      <c r="M310">
        <f>IF(H310="", AVERAGEIF(Dataset!D:D, D310, Dataset!H:H), H310)</f>
        <v>170</v>
      </c>
      <c r="N310">
        <f>IF(I310="", AVERAGEIF(Dataset!D:D, D310, Dataset!I:I), I310)</f>
        <v>341.67</v>
      </c>
      <c r="O310">
        <f t="shared" si="13"/>
        <v>58083.9</v>
      </c>
      <c r="P310">
        <f t="shared" si="14"/>
        <v>0</v>
      </c>
    </row>
    <row r="311" spans="1:16" ht="29.4" thickBot="1" x14ac:dyDescent="0.35">
      <c r="A311" s="1" t="s">
        <v>338</v>
      </c>
      <c r="B311" s="1" t="s">
        <v>48</v>
      </c>
      <c r="C311" s="1" t="s">
        <v>50</v>
      </c>
      <c r="D311" s="1" t="s">
        <v>42</v>
      </c>
      <c r="E311" s="1" t="s">
        <v>14</v>
      </c>
      <c r="F311" s="1" t="s">
        <v>15</v>
      </c>
      <c r="G311" s="2">
        <v>45236</v>
      </c>
      <c r="H311" s="3">
        <v>211</v>
      </c>
      <c r="I311" s="3">
        <v>119.26</v>
      </c>
      <c r="J311" s="3">
        <v>299.39</v>
      </c>
      <c r="K311" t="str">
        <f>IF(B311="", VLOOKUP(C311, Mapping!A:B, 2, FALSE), B311)</f>
        <v>South</v>
      </c>
      <c r="L311" t="str">
        <f t="shared" si="12"/>
        <v>Electronics</v>
      </c>
      <c r="M311">
        <f>IF(H311="", AVERAGEIF(Dataset!D:D, D311, Dataset!H:H), H311)</f>
        <v>211</v>
      </c>
      <c r="N311">
        <f>IF(I311="", AVERAGEIF(Dataset!D:D, D311, Dataset!I:I), I311)</f>
        <v>119.26</v>
      </c>
      <c r="O311">
        <f t="shared" si="13"/>
        <v>25163.86</v>
      </c>
      <c r="P311">
        <f t="shared" si="14"/>
        <v>0</v>
      </c>
    </row>
    <row r="312" spans="1:16" ht="15" thickBot="1" x14ac:dyDescent="0.35">
      <c r="A312" s="1" t="s">
        <v>339</v>
      </c>
      <c r="B312" s="1" t="s">
        <v>17</v>
      </c>
      <c r="C312" s="1" t="s">
        <v>18</v>
      </c>
      <c r="D312" s="1" t="s">
        <v>27</v>
      </c>
      <c r="E312" s="1" t="s">
        <v>14</v>
      </c>
      <c r="F312" s="1" t="s">
        <v>28</v>
      </c>
      <c r="G312" s="2">
        <v>45237</v>
      </c>
      <c r="H312" s="3">
        <v>433</v>
      </c>
      <c r="I312" s="3">
        <v>231.15</v>
      </c>
      <c r="J312" s="3">
        <v>296.51</v>
      </c>
      <c r="K312" t="str">
        <f>IF(B312="", VLOOKUP(C312, Mapping!A:B, 2, FALSE), B312)</f>
        <v>West</v>
      </c>
      <c r="L312" t="str">
        <f t="shared" si="12"/>
        <v>Furniture</v>
      </c>
      <c r="M312">
        <f>IF(H312="", AVERAGEIF(Dataset!D:D, D312, Dataset!H:H), H312)</f>
        <v>433</v>
      </c>
      <c r="N312">
        <f>IF(I312="", AVERAGEIF(Dataset!D:D, D312, Dataset!I:I), I312)</f>
        <v>231.15</v>
      </c>
      <c r="O312">
        <f t="shared" si="13"/>
        <v>100087.95</v>
      </c>
      <c r="P312">
        <f t="shared" si="14"/>
        <v>0</v>
      </c>
    </row>
    <row r="313" spans="1:16" ht="29.4" thickBot="1" x14ac:dyDescent="0.35">
      <c r="A313" s="1" t="s">
        <v>340</v>
      </c>
      <c r="B313" s="1" t="s">
        <v>11</v>
      </c>
      <c r="C313" s="1" t="s">
        <v>50</v>
      </c>
      <c r="D313" s="1" t="s">
        <v>13</v>
      </c>
      <c r="E313" s="1" t="s">
        <v>24</v>
      </c>
      <c r="F313" s="1" t="s">
        <v>20</v>
      </c>
      <c r="G313" s="2">
        <v>45238</v>
      </c>
      <c r="H313" s="3">
        <v>425</v>
      </c>
      <c r="I313" s="3">
        <v>99.21</v>
      </c>
      <c r="J313" s="3">
        <v>380.22</v>
      </c>
      <c r="K313" t="str">
        <f>IF(B313="", VLOOKUP(C313, Mapping!A:B, 2, FALSE), B313)</f>
        <v>East</v>
      </c>
      <c r="L313" t="str">
        <f t="shared" si="12"/>
        <v>Beverages</v>
      </c>
      <c r="M313">
        <f>IF(H313="", AVERAGEIF(Dataset!D:D, D313, Dataset!H:H), H313)</f>
        <v>425</v>
      </c>
      <c r="N313">
        <f>IF(I313="", AVERAGEIF(Dataset!D:D, D313, Dataset!I:I), I313)</f>
        <v>99.21</v>
      </c>
      <c r="O313">
        <f t="shared" si="13"/>
        <v>42164.25</v>
      </c>
      <c r="P313">
        <f t="shared" si="14"/>
        <v>0</v>
      </c>
    </row>
    <row r="314" spans="1:16" ht="15" thickBot="1" x14ac:dyDescent="0.35">
      <c r="A314" s="1" t="s">
        <v>341</v>
      </c>
      <c r="B314" s="1" t="s">
        <v>17</v>
      </c>
      <c r="C314" s="1" t="s">
        <v>50</v>
      </c>
      <c r="D314" s="1" t="s">
        <v>23</v>
      </c>
      <c r="E314" s="1" t="s">
        <v>24</v>
      </c>
      <c r="F314" s="1" t="s">
        <v>28</v>
      </c>
      <c r="G314" s="2">
        <v>45239</v>
      </c>
      <c r="H314" s="3">
        <v>251</v>
      </c>
      <c r="I314" s="3">
        <v>30.91</v>
      </c>
      <c r="J314" s="3">
        <v>82.77</v>
      </c>
      <c r="K314" t="str">
        <f>IF(B314="", VLOOKUP(C314, Mapping!A:B, 2, FALSE), B314)</f>
        <v>West</v>
      </c>
      <c r="L314" t="str">
        <f t="shared" si="12"/>
        <v>Clothing</v>
      </c>
      <c r="M314">
        <f>IF(H314="", AVERAGEIF(Dataset!D:D, D314, Dataset!H:H), H314)</f>
        <v>251</v>
      </c>
      <c r="N314">
        <f>IF(I314="", AVERAGEIF(Dataset!D:D, D314, Dataset!I:I), I314)</f>
        <v>30.91</v>
      </c>
      <c r="O314">
        <f t="shared" si="13"/>
        <v>7758.41</v>
      </c>
      <c r="P314">
        <f t="shared" si="14"/>
        <v>0</v>
      </c>
    </row>
    <row r="315" spans="1:16" ht="15" thickBot="1" x14ac:dyDescent="0.35">
      <c r="A315" s="1" t="s">
        <v>342</v>
      </c>
      <c r="B315" s="1" t="s">
        <v>11</v>
      </c>
      <c r="C315" s="1" t="s">
        <v>26</v>
      </c>
      <c r="D315" s="1" t="s">
        <v>19</v>
      </c>
      <c r="E315" s="1" t="s">
        <v>14</v>
      </c>
      <c r="F315" s="1" t="s">
        <v>15</v>
      </c>
      <c r="G315" s="2">
        <v>45240</v>
      </c>
      <c r="H315" s="1"/>
      <c r="I315" s="3">
        <v>192.35</v>
      </c>
      <c r="J315" s="3">
        <v>227.09</v>
      </c>
      <c r="K315" t="str">
        <f>IF(B315="", VLOOKUP(C315, Mapping!A:B, 2, FALSE), B315)</f>
        <v>East</v>
      </c>
      <c r="L315" t="str">
        <f t="shared" si="12"/>
        <v>Food</v>
      </c>
      <c r="M315">
        <f>IF(H315="", AVERAGEIF(Dataset!D:D, D315, Dataset!H:H), H315)</f>
        <v>266.39655172413791</v>
      </c>
      <c r="N315">
        <f>IF(I315="", AVERAGEIF(Dataset!D:D, D315, Dataset!I:I), I315)</f>
        <v>192.35</v>
      </c>
      <c r="O315" t="str">
        <f t="shared" si="13"/>
        <v/>
      </c>
      <c r="P315">
        <f t="shared" si="14"/>
        <v>0</v>
      </c>
    </row>
    <row r="316" spans="1:16" ht="29.4" thickBot="1" x14ac:dyDescent="0.35">
      <c r="A316" s="1" t="s">
        <v>343</v>
      </c>
      <c r="B316" s="1" t="s">
        <v>11</v>
      </c>
      <c r="C316" s="1" t="s">
        <v>26</v>
      </c>
      <c r="D316" s="1" t="s">
        <v>13</v>
      </c>
      <c r="E316" s="1" t="s">
        <v>14</v>
      </c>
      <c r="F316" s="1" t="s">
        <v>15</v>
      </c>
      <c r="G316" s="2">
        <v>45241</v>
      </c>
      <c r="H316" s="3">
        <v>11</v>
      </c>
      <c r="I316" s="3">
        <v>184.66</v>
      </c>
      <c r="J316" s="3">
        <v>391.9</v>
      </c>
      <c r="K316" t="str">
        <f>IF(B316="", VLOOKUP(C316, Mapping!A:B, 2, FALSE), B316)</f>
        <v>East</v>
      </c>
      <c r="L316" t="str">
        <f t="shared" si="12"/>
        <v>Beverages</v>
      </c>
      <c r="M316">
        <f>IF(H316="", AVERAGEIF(Dataset!D:D, D316, Dataset!H:H), H316)</f>
        <v>11</v>
      </c>
      <c r="N316">
        <f>IF(I316="", AVERAGEIF(Dataset!D:D, D316, Dataset!I:I), I316)</f>
        <v>184.66</v>
      </c>
      <c r="O316">
        <f t="shared" si="13"/>
        <v>2031.26</v>
      </c>
      <c r="P316">
        <f t="shared" si="14"/>
        <v>0</v>
      </c>
    </row>
    <row r="317" spans="1:16" ht="15" thickBot="1" x14ac:dyDescent="0.35">
      <c r="A317" s="1" t="s">
        <v>344</v>
      </c>
      <c r="B317" s="1" t="s">
        <v>17</v>
      </c>
      <c r="C317" s="1" t="s">
        <v>26</v>
      </c>
      <c r="D317" s="1" t="s">
        <v>23</v>
      </c>
      <c r="E317" s="1" t="s">
        <v>14</v>
      </c>
      <c r="F317" s="1" t="s">
        <v>28</v>
      </c>
      <c r="G317" s="2">
        <v>45242</v>
      </c>
      <c r="H317" s="3">
        <v>234</v>
      </c>
      <c r="I317" s="3">
        <v>497.76</v>
      </c>
      <c r="J317" s="3">
        <v>67.790000000000006</v>
      </c>
      <c r="K317" t="str">
        <f>IF(B317="", VLOOKUP(C317, Mapping!A:B, 2, FALSE), B317)</f>
        <v>West</v>
      </c>
      <c r="L317" t="str">
        <f t="shared" si="12"/>
        <v>Clothing</v>
      </c>
      <c r="M317">
        <f>IF(H317="", AVERAGEIF(Dataset!D:D, D317, Dataset!H:H), H317)</f>
        <v>234</v>
      </c>
      <c r="N317">
        <f>IF(I317="", AVERAGEIF(Dataset!D:D, D317, Dataset!I:I), I317)</f>
        <v>497.76</v>
      </c>
      <c r="O317">
        <f t="shared" si="13"/>
        <v>116475.84</v>
      </c>
      <c r="P317">
        <f t="shared" si="14"/>
        <v>100612.98</v>
      </c>
    </row>
    <row r="318" spans="1:16" ht="15" thickBot="1" x14ac:dyDescent="0.35">
      <c r="A318" s="1" t="s">
        <v>345</v>
      </c>
      <c r="B318" s="1" t="s">
        <v>11</v>
      </c>
      <c r="C318" s="1" t="s">
        <v>50</v>
      </c>
      <c r="D318" s="1" t="s">
        <v>23</v>
      </c>
      <c r="E318" s="1" t="s">
        <v>14</v>
      </c>
      <c r="F318" s="1" t="s">
        <v>20</v>
      </c>
      <c r="G318" s="2">
        <v>45243</v>
      </c>
      <c r="H318" s="1"/>
      <c r="I318" s="3">
        <v>225.94</v>
      </c>
      <c r="J318" s="3">
        <v>280.7</v>
      </c>
      <c r="K318" t="str">
        <f>IF(B318="", VLOOKUP(C318, Mapping!A:B, 2, FALSE), B318)</f>
        <v>East</v>
      </c>
      <c r="L318" t="str">
        <f t="shared" si="12"/>
        <v>Clothing</v>
      </c>
      <c r="M318">
        <f>IF(H318="", AVERAGEIF(Dataset!D:D, D318, Dataset!H:H), H318)</f>
        <v>229.63076923076923</v>
      </c>
      <c r="N318">
        <f>IF(I318="", AVERAGEIF(Dataset!D:D, D318, Dataset!I:I), I318)</f>
        <v>225.94</v>
      </c>
      <c r="O318" t="str">
        <f t="shared" si="13"/>
        <v/>
      </c>
      <c r="P318">
        <f t="shared" si="14"/>
        <v>0</v>
      </c>
    </row>
    <row r="319" spans="1:16" ht="29.4" thickBot="1" x14ac:dyDescent="0.35">
      <c r="A319" s="1" t="s">
        <v>346</v>
      </c>
      <c r="B319" s="1" t="s">
        <v>22</v>
      </c>
      <c r="C319" s="1" t="s">
        <v>31</v>
      </c>
      <c r="D319" s="1" t="s">
        <v>42</v>
      </c>
      <c r="E319" s="1" t="s">
        <v>14</v>
      </c>
      <c r="F319" s="1" t="s">
        <v>20</v>
      </c>
      <c r="G319" s="2">
        <v>45244</v>
      </c>
      <c r="H319" s="3">
        <v>242</v>
      </c>
      <c r="I319" s="3">
        <v>170.12</v>
      </c>
      <c r="J319" s="3">
        <v>235.15</v>
      </c>
      <c r="K319" t="str">
        <f>IF(B319="", VLOOKUP(C319, Mapping!A:B, 2, FALSE), B319)</f>
        <v>North</v>
      </c>
      <c r="L319" t="str">
        <f t="shared" si="12"/>
        <v>Electronics</v>
      </c>
      <c r="M319">
        <f>IF(H319="", AVERAGEIF(Dataset!D:D, D319, Dataset!H:H), H319)</f>
        <v>242</v>
      </c>
      <c r="N319">
        <f>IF(I319="", AVERAGEIF(Dataset!D:D, D319, Dataset!I:I), I319)</f>
        <v>170.12</v>
      </c>
      <c r="O319">
        <f t="shared" si="13"/>
        <v>41169.040000000001</v>
      </c>
      <c r="P319">
        <f t="shared" si="14"/>
        <v>0</v>
      </c>
    </row>
    <row r="320" spans="1:16" ht="15" thickBot="1" x14ac:dyDescent="0.35">
      <c r="A320" s="1" t="s">
        <v>347</v>
      </c>
      <c r="B320" s="1" t="s">
        <v>11</v>
      </c>
      <c r="C320" s="1" t="s">
        <v>50</v>
      </c>
      <c r="D320" s="1" t="s">
        <v>27</v>
      </c>
      <c r="E320" s="1" t="s">
        <v>14</v>
      </c>
      <c r="F320" s="1" t="s">
        <v>15</v>
      </c>
      <c r="G320" s="2">
        <v>45245</v>
      </c>
      <c r="H320" s="3">
        <v>470</v>
      </c>
      <c r="I320" s="3">
        <v>292.33999999999997</v>
      </c>
      <c r="J320" s="3">
        <v>235.42</v>
      </c>
      <c r="K320" t="str">
        <f>IF(B320="", VLOOKUP(C320, Mapping!A:B, 2, FALSE), B320)</f>
        <v>East</v>
      </c>
      <c r="L320" t="str">
        <f t="shared" si="12"/>
        <v>Furniture</v>
      </c>
      <c r="M320">
        <f>IF(H320="", AVERAGEIF(Dataset!D:D, D320, Dataset!H:H), H320)</f>
        <v>470</v>
      </c>
      <c r="N320">
        <f>IF(I320="", AVERAGEIF(Dataset!D:D, D320, Dataset!I:I), I320)</f>
        <v>292.33999999999997</v>
      </c>
      <c r="O320">
        <f t="shared" si="13"/>
        <v>137399.79999999999</v>
      </c>
      <c r="P320">
        <f t="shared" si="14"/>
        <v>26752.399999999994</v>
      </c>
    </row>
    <row r="321" spans="1:16" ht="15" thickBot="1" x14ac:dyDescent="0.35">
      <c r="A321" s="1" t="s">
        <v>348</v>
      </c>
      <c r="B321" s="1" t="s">
        <v>48</v>
      </c>
      <c r="C321" s="1" t="s">
        <v>31</v>
      </c>
      <c r="D321" s="1" t="s">
        <v>27</v>
      </c>
      <c r="E321" s="1" t="s">
        <v>24</v>
      </c>
      <c r="F321" s="1" t="s">
        <v>15</v>
      </c>
      <c r="G321" s="2">
        <v>45246</v>
      </c>
      <c r="H321" s="3">
        <v>423</v>
      </c>
      <c r="I321" s="3">
        <v>48.94</v>
      </c>
      <c r="J321" s="3">
        <v>279.67</v>
      </c>
      <c r="K321" t="str">
        <f>IF(B321="", VLOOKUP(C321, Mapping!A:B, 2, FALSE), B321)</f>
        <v>South</v>
      </c>
      <c r="L321" t="str">
        <f t="shared" si="12"/>
        <v>Furniture</v>
      </c>
      <c r="M321">
        <f>IF(H321="", AVERAGEIF(Dataset!D:D, D321, Dataset!H:H), H321)</f>
        <v>423</v>
      </c>
      <c r="N321">
        <f>IF(I321="", AVERAGEIF(Dataset!D:D, D321, Dataset!I:I), I321)</f>
        <v>48.94</v>
      </c>
      <c r="O321">
        <f t="shared" si="13"/>
        <v>20701.62</v>
      </c>
      <c r="P321">
        <f t="shared" si="14"/>
        <v>0</v>
      </c>
    </row>
    <row r="322" spans="1:16" ht="29.4" thickBot="1" x14ac:dyDescent="0.35">
      <c r="A322" s="1" t="s">
        <v>349</v>
      </c>
      <c r="B322" s="1" t="s">
        <v>17</v>
      </c>
      <c r="C322" s="1" t="s">
        <v>31</v>
      </c>
      <c r="D322" s="1" t="s">
        <v>13</v>
      </c>
      <c r="E322" s="1" t="s">
        <v>14</v>
      </c>
      <c r="F322" s="1" t="s">
        <v>20</v>
      </c>
      <c r="G322" s="2">
        <v>45247</v>
      </c>
      <c r="H322" s="3">
        <v>426</v>
      </c>
      <c r="I322" s="3">
        <v>481.02</v>
      </c>
      <c r="J322" s="3">
        <v>371.99</v>
      </c>
      <c r="K322" t="str">
        <f>IF(B322="", VLOOKUP(C322, Mapping!A:B, 2, FALSE), B322)</f>
        <v>West</v>
      </c>
      <c r="L322" t="str">
        <f t="shared" si="12"/>
        <v>Beverages</v>
      </c>
      <c r="M322">
        <f>IF(H322="", AVERAGEIF(Dataset!D:D, D322, Dataset!H:H), H322)</f>
        <v>426</v>
      </c>
      <c r="N322">
        <f>IF(I322="", AVERAGEIF(Dataset!D:D, D322, Dataset!I:I), I322)</f>
        <v>481.02</v>
      </c>
      <c r="O322">
        <f t="shared" si="13"/>
        <v>204914.52</v>
      </c>
      <c r="P322">
        <f t="shared" si="14"/>
        <v>46446.779999999992</v>
      </c>
    </row>
    <row r="323" spans="1:16" ht="15" thickBot="1" x14ac:dyDescent="0.35">
      <c r="A323" s="1" t="s">
        <v>350</v>
      </c>
      <c r="B323" s="1" t="s">
        <v>22</v>
      </c>
      <c r="C323" s="1" t="s">
        <v>26</v>
      </c>
      <c r="D323" s="1" t="s">
        <v>27</v>
      </c>
      <c r="E323" s="1" t="s">
        <v>24</v>
      </c>
      <c r="F323" s="1" t="s">
        <v>28</v>
      </c>
      <c r="G323" s="2">
        <v>45248</v>
      </c>
      <c r="H323" s="3">
        <v>86</v>
      </c>
      <c r="I323" s="3">
        <v>319.31</v>
      </c>
      <c r="J323" s="3">
        <v>313.47000000000003</v>
      </c>
      <c r="K323" t="str">
        <f>IF(B323="", VLOOKUP(C323, Mapping!A:B, 2, FALSE), B323)</f>
        <v>North</v>
      </c>
      <c r="L323" t="str">
        <f t="shared" ref="L323:L351" si="15">IF(D323="", IF(H323&lt;100,"Clothing", IF(H323&lt;=250,"Food", IF(H323&lt;=400,"Furniture","Electronics"))), D323)</f>
        <v>Furniture</v>
      </c>
      <c r="M323">
        <f>IF(H323="", AVERAGEIF(Dataset!D:D, D323, Dataset!H:H), H323)</f>
        <v>86</v>
      </c>
      <c r="N323">
        <f>IF(I323="", AVERAGEIF(Dataset!D:D, D323, Dataset!I:I), I323)</f>
        <v>319.31</v>
      </c>
      <c r="O323">
        <f t="shared" ref="O323:O351" si="16">IF(OR(H323="",I323=""),"",H323*I323)</f>
        <v>27460.66</v>
      </c>
      <c r="P323">
        <f t="shared" ref="P323:P351" si="17">MAX(0, H323*(I323-J323))</f>
        <v>502.23999999999785</v>
      </c>
    </row>
    <row r="324" spans="1:16" ht="15" thickBot="1" x14ac:dyDescent="0.35">
      <c r="A324" s="1" t="s">
        <v>351</v>
      </c>
      <c r="B324" s="1" t="s">
        <v>17</v>
      </c>
      <c r="C324" s="1" t="s">
        <v>12</v>
      </c>
      <c r="D324" s="1" t="s">
        <v>19</v>
      </c>
      <c r="E324" s="1" t="s">
        <v>24</v>
      </c>
      <c r="F324" s="1" t="s">
        <v>15</v>
      </c>
      <c r="G324" s="2">
        <v>45249</v>
      </c>
      <c r="H324" s="3">
        <v>125</v>
      </c>
      <c r="I324" s="3">
        <v>378.64</v>
      </c>
      <c r="J324" s="3">
        <v>24.34</v>
      </c>
      <c r="K324" t="str">
        <f>IF(B324="", VLOOKUP(C324, Mapping!A:B, 2, FALSE), B324)</f>
        <v>West</v>
      </c>
      <c r="L324" t="str">
        <f t="shared" si="15"/>
        <v>Food</v>
      </c>
      <c r="M324">
        <f>IF(H324="", AVERAGEIF(Dataset!D:D, D324, Dataset!H:H), H324)</f>
        <v>125</v>
      </c>
      <c r="N324">
        <f>IF(I324="", AVERAGEIF(Dataset!D:D, D324, Dataset!I:I), I324)</f>
        <v>378.64</v>
      </c>
      <c r="O324">
        <f t="shared" si="16"/>
        <v>47330</v>
      </c>
      <c r="P324">
        <f t="shared" si="17"/>
        <v>44287.5</v>
      </c>
    </row>
    <row r="325" spans="1:16" ht="15" thickBot="1" x14ac:dyDescent="0.35">
      <c r="A325" s="1" t="s">
        <v>352</v>
      </c>
      <c r="B325" s="1" t="s">
        <v>48</v>
      </c>
      <c r="C325" s="1" t="s">
        <v>18</v>
      </c>
      <c r="D325" s="1"/>
      <c r="E325" s="1" t="s">
        <v>14</v>
      </c>
      <c r="F325" s="1" t="s">
        <v>15</v>
      </c>
      <c r="G325" s="2">
        <v>45250</v>
      </c>
      <c r="H325" s="3">
        <v>163</v>
      </c>
      <c r="I325" s="3">
        <v>89.39</v>
      </c>
      <c r="J325" s="3">
        <v>341.39</v>
      </c>
      <c r="K325" t="str">
        <f>IF(B325="", VLOOKUP(C325, Mapping!A:B, 2, FALSE), B325)</f>
        <v>South</v>
      </c>
      <c r="L325" t="str">
        <f t="shared" si="15"/>
        <v>Food</v>
      </c>
      <c r="M325">
        <f>IF(H325="", AVERAGEIF(Dataset!D:D, D325, Dataset!H:H), H325)</f>
        <v>163</v>
      </c>
      <c r="N325">
        <f>IF(I325="", AVERAGEIF(Dataset!D:D, D325, Dataset!I:I), I325)</f>
        <v>89.39</v>
      </c>
      <c r="O325">
        <f t="shared" si="16"/>
        <v>14570.57</v>
      </c>
      <c r="P325">
        <f t="shared" si="17"/>
        <v>0</v>
      </c>
    </row>
    <row r="326" spans="1:16" ht="29.4" thickBot="1" x14ac:dyDescent="0.35">
      <c r="A326" s="1" t="s">
        <v>353</v>
      </c>
      <c r="B326" s="1" t="s">
        <v>48</v>
      </c>
      <c r="C326" s="1" t="s">
        <v>26</v>
      </c>
      <c r="D326" s="1" t="s">
        <v>13</v>
      </c>
      <c r="E326" s="1" t="s">
        <v>24</v>
      </c>
      <c r="F326" s="1" t="s">
        <v>20</v>
      </c>
      <c r="G326" s="2">
        <v>45251</v>
      </c>
      <c r="H326" s="3">
        <v>415</v>
      </c>
      <c r="I326" s="3">
        <v>207.69</v>
      </c>
      <c r="J326" s="3">
        <v>91.77</v>
      </c>
      <c r="K326" t="str">
        <f>IF(B326="", VLOOKUP(C326, Mapping!A:B, 2, FALSE), B326)</f>
        <v>South</v>
      </c>
      <c r="L326" t="str">
        <f t="shared" si="15"/>
        <v>Beverages</v>
      </c>
      <c r="M326">
        <f>IF(H326="", AVERAGEIF(Dataset!D:D, D326, Dataset!H:H), H326)</f>
        <v>415</v>
      </c>
      <c r="N326">
        <f>IF(I326="", AVERAGEIF(Dataset!D:D, D326, Dataset!I:I), I326)</f>
        <v>207.69</v>
      </c>
      <c r="O326">
        <f t="shared" si="16"/>
        <v>86191.35</v>
      </c>
      <c r="P326">
        <f t="shared" si="17"/>
        <v>48106.8</v>
      </c>
    </row>
    <row r="327" spans="1:16" ht="15" thickBot="1" x14ac:dyDescent="0.35">
      <c r="A327" s="1" t="s">
        <v>354</v>
      </c>
      <c r="B327" s="1" t="s">
        <v>48</v>
      </c>
      <c r="C327" s="1" t="s">
        <v>26</v>
      </c>
      <c r="D327" s="1" t="s">
        <v>27</v>
      </c>
      <c r="E327" s="1" t="s">
        <v>24</v>
      </c>
      <c r="F327" s="1" t="s">
        <v>28</v>
      </c>
      <c r="G327" s="2">
        <v>45252</v>
      </c>
      <c r="H327" s="3">
        <v>112</v>
      </c>
      <c r="I327" s="3">
        <v>214.23</v>
      </c>
      <c r="J327" s="3">
        <v>152.01</v>
      </c>
      <c r="K327" t="str">
        <f>IF(B327="", VLOOKUP(C327, Mapping!A:B, 2, FALSE), B327)</f>
        <v>South</v>
      </c>
      <c r="L327" t="str">
        <f t="shared" si="15"/>
        <v>Furniture</v>
      </c>
      <c r="M327">
        <f>IF(H327="", AVERAGEIF(Dataset!D:D, D327, Dataset!H:H), H327)</f>
        <v>112</v>
      </c>
      <c r="N327">
        <f>IF(I327="", AVERAGEIF(Dataset!D:D, D327, Dataset!I:I), I327)</f>
        <v>214.23</v>
      </c>
      <c r="O327">
        <f t="shared" si="16"/>
        <v>23993.759999999998</v>
      </c>
      <c r="P327">
        <f t="shared" si="17"/>
        <v>6968.6399999999994</v>
      </c>
    </row>
    <row r="328" spans="1:16" ht="15" thickBot="1" x14ac:dyDescent="0.35">
      <c r="A328" s="1" t="s">
        <v>355</v>
      </c>
      <c r="B328" s="1" t="s">
        <v>11</v>
      </c>
      <c r="C328" s="1" t="s">
        <v>12</v>
      </c>
      <c r="D328" s="1" t="s">
        <v>19</v>
      </c>
      <c r="E328" s="1" t="s">
        <v>24</v>
      </c>
      <c r="F328" s="1" t="s">
        <v>20</v>
      </c>
      <c r="G328" s="2">
        <v>45253</v>
      </c>
      <c r="H328" s="3">
        <v>203</v>
      </c>
      <c r="I328" s="3">
        <v>411.79</v>
      </c>
      <c r="J328" s="3">
        <v>185.77</v>
      </c>
      <c r="K328" t="str">
        <f>IF(B328="", VLOOKUP(C328, Mapping!A:B, 2, FALSE), B328)</f>
        <v>East</v>
      </c>
      <c r="L328" t="str">
        <f t="shared" si="15"/>
        <v>Food</v>
      </c>
      <c r="M328">
        <f>IF(H328="", AVERAGEIF(Dataset!D:D, D328, Dataset!H:H), H328)</f>
        <v>203</v>
      </c>
      <c r="N328">
        <f>IF(I328="", AVERAGEIF(Dataset!D:D, D328, Dataset!I:I), I328)</f>
        <v>411.79</v>
      </c>
      <c r="O328">
        <f t="shared" si="16"/>
        <v>83593.37000000001</v>
      </c>
      <c r="P328">
        <f t="shared" si="17"/>
        <v>45882.060000000005</v>
      </c>
    </row>
    <row r="329" spans="1:16" ht="29.4" thickBot="1" x14ac:dyDescent="0.35">
      <c r="A329" s="1" t="s">
        <v>356</v>
      </c>
      <c r="B329" s="1" t="s">
        <v>11</v>
      </c>
      <c r="C329" s="1" t="s">
        <v>18</v>
      </c>
      <c r="D329" s="1" t="s">
        <v>42</v>
      </c>
      <c r="E329" s="1" t="s">
        <v>24</v>
      </c>
      <c r="F329" s="1" t="s">
        <v>28</v>
      </c>
      <c r="G329" s="2">
        <v>45254</v>
      </c>
      <c r="H329" s="1"/>
      <c r="I329" s="3">
        <v>5.61</v>
      </c>
      <c r="J329" s="3">
        <v>193.4</v>
      </c>
      <c r="K329" t="str">
        <f>IF(B329="", VLOOKUP(C329, Mapping!A:B, 2, FALSE), B329)</f>
        <v>East</v>
      </c>
      <c r="L329" t="str">
        <f t="shared" si="15"/>
        <v>Electronics</v>
      </c>
      <c r="M329">
        <f>IF(H329="", AVERAGEIF(Dataset!D:D, D329, Dataset!H:H), H329)</f>
        <v>253.59701492537314</v>
      </c>
      <c r="N329">
        <f>IF(I329="", AVERAGEIF(Dataset!D:D, D329, Dataset!I:I), I329)</f>
        <v>5.61</v>
      </c>
      <c r="O329" t="str">
        <f t="shared" si="16"/>
        <v/>
      </c>
      <c r="P329">
        <f t="shared" si="17"/>
        <v>0</v>
      </c>
    </row>
    <row r="330" spans="1:16" ht="29.4" thickBot="1" x14ac:dyDescent="0.35">
      <c r="A330" s="1" t="s">
        <v>357</v>
      </c>
      <c r="B330" s="1" t="s">
        <v>17</v>
      </c>
      <c r="C330" s="1" t="s">
        <v>50</v>
      </c>
      <c r="D330" s="1" t="s">
        <v>13</v>
      </c>
      <c r="E330" s="1" t="s">
        <v>24</v>
      </c>
      <c r="F330" s="1" t="s">
        <v>28</v>
      </c>
      <c r="G330" s="2">
        <v>45255</v>
      </c>
      <c r="H330" s="3">
        <v>368</v>
      </c>
      <c r="I330" s="3">
        <v>153.91999999999999</v>
      </c>
      <c r="J330" s="3">
        <v>175.2</v>
      </c>
      <c r="K330" t="str">
        <f>IF(B330="", VLOOKUP(C330, Mapping!A:B, 2, FALSE), B330)</f>
        <v>West</v>
      </c>
      <c r="L330" t="str">
        <f t="shared" si="15"/>
        <v>Beverages</v>
      </c>
      <c r="M330">
        <f>IF(H330="", AVERAGEIF(Dataset!D:D, D330, Dataset!H:H), H330)</f>
        <v>368</v>
      </c>
      <c r="N330">
        <f>IF(I330="", AVERAGEIF(Dataset!D:D, D330, Dataset!I:I), I330)</f>
        <v>153.91999999999999</v>
      </c>
      <c r="O330">
        <f t="shared" si="16"/>
        <v>56642.559999999998</v>
      </c>
      <c r="P330">
        <f t="shared" si="17"/>
        <v>0</v>
      </c>
    </row>
    <row r="331" spans="1:16" ht="29.4" thickBot="1" x14ac:dyDescent="0.35">
      <c r="A331" s="1" t="s">
        <v>358</v>
      </c>
      <c r="B331" s="1" t="s">
        <v>17</v>
      </c>
      <c r="C331" s="1" t="s">
        <v>50</v>
      </c>
      <c r="D331" s="1" t="s">
        <v>42</v>
      </c>
      <c r="E331" s="1" t="s">
        <v>24</v>
      </c>
      <c r="F331" s="1" t="s">
        <v>28</v>
      </c>
      <c r="G331" s="2">
        <v>45256</v>
      </c>
      <c r="H331" s="3">
        <v>99</v>
      </c>
      <c r="I331" s="3">
        <v>490.71</v>
      </c>
      <c r="J331" s="3">
        <v>375.07</v>
      </c>
      <c r="K331" t="str">
        <f>IF(B331="", VLOOKUP(C331, Mapping!A:B, 2, FALSE), B331)</f>
        <v>West</v>
      </c>
      <c r="L331" t="str">
        <f t="shared" si="15"/>
        <v>Electronics</v>
      </c>
      <c r="M331">
        <f>IF(H331="", AVERAGEIF(Dataset!D:D, D331, Dataset!H:H), H331)</f>
        <v>99</v>
      </c>
      <c r="N331">
        <f>IF(I331="", AVERAGEIF(Dataset!D:D, D331, Dataset!I:I), I331)</f>
        <v>490.71</v>
      </c>
      <c r="O331">
        <f t="shared" si="16"/>
        <v>48580.29</v>
      </c>
      <c r="P331">
        <f t="shared" si="17"/>
        <v>11448.359999999999</v>
      </c>
    </row>
    <row r="332" spans="1:16" ht="29.4" thickBot="1" x14ac:dyDescent="0.35">
      <c r="A332" s="1" t="s">
        <v>359</v>
      </c>
      <c r="B332" s="1" t="s">
        <v>22</v>
      </c>
      <c r="C332" s="1" t="s">
        <v>26</v>
      </c>
      <c r="D332" s="1" t="s">
        <v>42</v>
      </c>
      <c r="E332" s="1" t="s">
        <v>14</v>
      </c>
      <c r="F332" s="1" t="s">
        <v>15</v>
      </c>
      <c r="G332" s="2">
        <v>45257</v>
      </c>
      <c r="H332" s="3">
        <v>183</v>
      </c>
      <c r="I332" s="3">
        <v>240.07</v>
      </c>
      <c r="J332" s="3">
        <v>283</v>
      </c>
      <c r="K332" t="str">
        <f>IF(B332="", VLOOKUP(C332, Mapping!A:B, 2, FALSE), B332)</f>
        <v>North</v>
      </c>
      <c r="L332" t="str">
        <f t="shared" si="15"/>
        <v>Electronics</v>
      </c>
      <c r="M332">
        <f>IF(H332="", AVERAGEIF(Dataset!D:D, D332, Dataset!H:H), H332)</f>
        <v>183</v>
      </c>
      <c r="N332">
        <f>IF(I332="", AVERAGEIF(Dataset!D:D, D332, Dataset!I:I), I332)</f>
        <v>240.07</v>
      </c>
      <c r="O332">
        <f t="shared" si="16"/>
        <v>43932.81</v>
      </c>
      <c r="P332">
        <f t="shared" si="17"/>
        <v>0</v>
      </c>
    </row>
    <row r="333" spans="1:16" ht="29.4" thickBot="1" x14ac:dyDescent="0.35">
      <c r="A333" s="1" t="s">
        <v>360</v>
      </c>
      <c r="B333" s="1"/>
      <c r="C333" s="1" t="s">
        <v>18</v>
      </c>
      <c r="D333" s="1" t="s">
        <v>42</v>
      </c>
      <c r="E333" s="1" t="s">
        <v>24</v>
      </c>
      <c r="F333" s="1" t="s">
        <v>20</v>
      </c>
      <c r="G333" s="2">
        <v>45258</v>
      </c>
      <c r="H333" s="3">
        <v>131</v>
      </c>
      <c r="I333" s="3">
        <v>194.35</v>
      </c>
      <c r="J333" s="3">
        <v>253.21</v>
      </c>
      <c r="K333" t="str">
        <f>IF(B333="", VLOOKUP(C333, Mapping!A:B, 2, FALSE), B333)</f>
        <v>East</v>
      </c>
      <c r="L333" t="str">
        <f t="shared" si="15"/>
        <v>Electronics</v>
      </c>
      <c r="M333">
        <f>IF(H333="", AVERAGEIF(Dataset!D:D, D333, Dataset!H:H), H333)</f>
        <v>131</v>
      </c>
      <c r="N333">
        <f>IF(I333="", AVERAGEIF(Dataset!D:D, D333, Dataset!I:I), I333)</f>
        <v>194.35</v>
      </c>
      <c r="O333">
        <f t="shared" si="16"/>
        <v>25459.85</v>
      </c>
      <c r="P333">
        <f t="shared" si="17"/>
        <v>0</v>
      </c>
    </row>
    <row r="334" spans="1:16" ht="15" thickBot="1" x14ac:dyDescent="0.35">
      <c r="A334" s="1" t="s">
        <v>361</v>
      </c>
      <c r="B334" s="1" t="s">
        <v>17</v>
      </c>
      <c r="C334" s="1" t="s">
        <v>26</v>
      </c>
      <c r="D334" s="1" t="s">
        <v>23</v>
      </c>
      <c r="E334" s="1" t="s">
        <v>24</v>
      </c>
      <c r="F334" s="1" t="s">
        <v>20</v>
      </c>
      <c r="G334" s="2">
        <v>45259</v>
      </c>
      <c r="H334" s="3">
        <v>152</v>
      </c>
      <c r="I334" s="3">
        <v>64.319999999999993</v>
      </c>
      <c r="J334" s="3">
        <v>21.84</v>
      </c>
      <c r="K334" t="str">
        <f>IF(B334="", VLOOKUP(C334, Mapping!A:B, 2, FALSE), B334)</f>
        <v>West</v>
      </c>
      <c r="L334" t="str">
        <f t="shared" si="15"/>
        <v>Clothing</v>
      </c>
      <c r="M334">
        <f>IF(H334="", AVERAGEIF(Dataset!D:D, D334, Dataset!H:H), H334)</f>
        <v>152</v>
      </c>
      <c r="N334">
        <f>IF(I334="", AVERAGEIF(Dataset!D:D, D334, Dataset!I:I), I334)</f>
        <v>64.319999999999993</v>
      </c>
      <c r="O334">
        <f t="shared" si="16"/>
        <v>9776.64</v>
      </c>
      <c r="P334">
        <f t="shared" si="17"/>
        <v>6456.9599999999982</v>
      </c>
    </row>
    <row r="335" spans="1:16" ht="15" thickBot="1" x14ac:dyDescent="0.35">
      <c r="A335" s="1" t="s">
        <v>362</v>
      </c>
      <c r="B335" s="1" t="s">
        <v>11</v>
      </c>
      <c r="C335" s="1" t="s">
        <v>31</v>
      </c>
      <c r="D335" s="1" t="s">
        <v>23</v>
      </c>
      <c r="E335" s="1" t="s">
        <v>24</v>
      </c>
      <c r="F335" s="1" t="s">
        <v>28</v>
      </c>
      <c r="G335" s="2">
        <v>45260</v>
      </c>
      <c r="H335" s="3">
        <v>491</v>
      </c>
      <c r="I335" s="3">
        <v>487.21</v>
      </c>
      <c r="J335" s="3">
        <v>361.76</v>
      </c>
      <c r="K335" t="str">
        <f>IF(B335="", VLOOKUP(C335, Mapping!A:B, 2, FALSE), B335)</f>
        <v>East</v>
      </c>
      <c r="L335" t="str">
        <f t="shared" si="15"/>
        <v>Clothing</v>
      </c>
      <c r="M335">
        <f>IF(H335="", AVERAGEIF(Dataset!D:D, D335, Dataset!H:H), H335)</f>
        <v>491</v>
      </c>
      <c r="N335">
        <f>IF(I335="", AVERAGEIF(Dataset!D:D, D335, Dataset!I:I), I335)</f>
        <v>487.21</v>
      </c>
      <c r="O335">
        <f t="shared" si="16"/>
        <v>239220.11</v>
      </c>
      <c r="P335">
        <f t="shared" si="17"/>
        <v>61595.95</v>
      </c>
    </row>
    <row r="336" spans="1:16" ht="29.4" thickBot="1" x14ac:dyDescent="0.35">
      <c r="A336" s="1" t="s">
        <v>363</v>
      </c>
      <c r="B336" s="1" t="s">
        <v>48</v>
      </c>
      <c r="C336" s="1" t="s">
        <v>26</v>
      </c>
      <c r="D336" s="1" t="s">
        <v>42</v>
      </c>
      <c r="E336" s="1" t="s">
        <v>14</v>
      </c>
      <c r="F336" s="1" t="s">
        <v>15</v>
      </c>
      <c r="G336" s="2">
        <v>45261</v>
      </c>
      <c r="H336" s="3">
        <v>115</v>
      </c>
      <c r="I336" s="3">
        <v>14.91</v>
      </c>
      <c r="J336" s="3">
        <v>363.94</v>
      </c>
      <c r="K336" t="str">
        <f>IF(B336="", VLOOKUP(C336, Mapping!A:B, 2, FALSE), B336)</f>
        <v>South</v>
      </c>
      <c r="L336" t="str">
        <f t="shared" si="15"/>
        <v>Electronics</v>
      </c>
      <c r="M336">
        <f>IF(H336="", AVERAGEIF(Dataset!D:D, D336, Dataset!H:H), H336)</f>
        <v>115</v>
      </c>
      <c r="N336">
        <f>IF(I336="", AVERAGEIF(Dataset!D:D, D336, Dataset!I:I), I336)</f>
        <v>14.91</v>
      </c>
      <c r="O336">
        <f t="shared" si="16"/>
        <v>1714.65</v>
      </c>
      <c r="P336">
        <f t="shared" si="17"/>
        <v>0</v>
      </c>
    </row>
    <row r="337" spans="1:16" ht="29.4" thickBot="1" x14ac:dyDescent="0.35">
      <c r="A337" s="1" t="s">
        <v>364</v>
      </c>
      <c r="B337" s="1" t="s">
        <v>17</v>
      </c>
      <c r="C337" s="1" t="s">
        <v>26</v>
      </c>
      <c r="D337" s="1" t="s">
        <v>13</v>
      </c>
      <c r="E337" s="1" t="s">
        <v>24</v>
      </c>
      <c r="F337" s="1" t="s">
        <v>15</v>
      </c>
      <c r="G337" s="2">
        <v>45262</v>
      </c>
      <c r="H337" s="3">
        <v>384</v>
      </c>
      <c r="I337" s="3">
        <v>369.9</v>
      </c>
      <c r="J337" s="3">
        <v>312.52</v>
      </c>
      <c r="K337" t="str">
        <f>IF(B337="", VLOOKUP(C337, Mapping!A:B, 2, FALSE), B337)</f>
        <v>West</v>
      </c>
      <c r="L337" t="str">
        <f t="shared" si="15"/>
        <v>Beverages</v>
      </c>
      <c r="M337">
        <f>IF(H337="", AVERAGEIF(Dataset!D:D, D337, Dataset!H:H), H337)</f>
        <v>384</v>
      </c>
      <c r="N337">
        <f>IF(I337="", AVERAGEIF(Dataset!D:D, D337, Dataset!I:I), I337)</f>
        <v>369.9</v>
      </c>
      <c r="O337">
        <f t="shared" si="16"/>
        <v>142041.59999999998</v>
      </c>
      <c r="P337">
        <f t="shared" si="17"/>
        <v>22033.919999999998</v>
      </c>
    </row>
    <row r="338" spans="1:16" ht="15" thickBot="1" x14ac:dyDescent="0.35">
      <c r="A338" s="1" t="s">
        <v>365</v>
      </c>
      <c r="B338" s="1" t="s">
        <v>22</v>
      </c>
      <c r="C338" s="1" t="s">
        <v>50</v>
      </c>
      <c r="D338" s="1" t="s">
        <v>19</v>
      </c>
      <c r="E338" s="1" t="s">
        <v>14</v>
      </c>
      <c r="F338" s="1" t="s">
        <v>20</v>
      </c>
      <c r="G338" s="2">
        <v>45263</v>
      </c>
      <c r="H338" s="3">
        <v>437</v>
      </c>
      <c r="I338" s="3">
        <v>385.46</v>
      </c>
      <c r="J338" s="3">
        <v>4.8</v>
      </c>
      <c r="K338" t="str">
        <f>IF(B338="", VLOOKUP(C338, Mapping!A:B, 2, FALSE), B338)</f>
        <v>North</v>
      </c>
      <c r="L338" t="str">
        <f t="shared" si="15"/>
        <v>Food</v>
      </c>
      <c r="M338">
        <f>IF(H338="", AVERAGEIF(Dataset!D:D, D338, Dataset!H:H), H338)</f>
        <v>437</v>
      </c>
      <c r="N338">
        <f>IF(I338="", AVERAGEIF(Dataset!D:D, D338, Dataset!I:I), I338)</f>
        <v>385.46</v>
      </c>
      <c r="O338">
        <f t="shared" si="16"/>
        <v>168446.02</v>
      </c>
      <c r="P338">
        <f t="shared" si="17"/>
        <v>166348.41999999998</v>
      </c>
    </row>
    <row r="339" spans="1:16" ht="15" thickBot="1" x14ac:dyDescent="0.35">
      <c r="A339" s="1" t="s">
        <v>366</v>
      </c>
      <c r="B339" s="1" t="s">
        <v>11</v>
      </c>
      <c r="C339" s="1" t="s">
        <v>50</v>
      </c>
      <c r="D339" s="1" t="s">
        <v>19</v>
      </c>
      <c r="E339" s="1" t="s">
        <v>24</v>
      </c>
      <c r="F339" s="1" t="s">
        <v>15</v>
      </c>
      <c r="G339" s="2">
        <v>45264</v>
      </c>
      <c r="H339" s="3">
        <v>314</v>
      </c>
      <c r="I339" s="3">
        <v>125.61</v>
      </c>
      <c r="J339" s="3">
        <v>24.8</v>
      </c>
      <c r="K339" t="str">
        <f>IF(B339="", VLOOKUP(C339, Mapping!A:B, 2, FALSE), B339)</f>
        <v>East</v>
      </c>
      <c r="L339" t="str">
        <f t="shared" si="15"/>
        <v>Food</v>
      </c>
      <c r="M339">
        <f>IF(H339="", AVERAGEIF(Dataset!D:D, D339, Dataset!H:H), H339)</f>
        <v>314</v>
      </c>
      <c r="N339">
        <f>IF(I339="", AVERAGEIF(Dataset!D:D, D339, Dataset!I:I), I339)</f>
        <v>125.61</v>
      </c>
      <c r="O339">
        <f t="shared" si="16"/>
        <v>39441.54</v>
      </c>
      <c r="P339">
        <f t="shared" si="17"/>
        <v>31654.34</v>
      </c>
    </row>
    <row r="340" spans="1:16" ht="15" thickBot="1" x14ac:dyDescent="0.35">
      <c r="A340" s="1" t="s">
        <v>367</v>
      </c>
      <c r="B340" s="1" t="s">
        <v>17</v>
      </c>
      <c r="C340" s="1" t="s">
        <v>50</v>
      </c>
      <c r="D340" s="1" t="s">
        <v>27</v>
      </c>
      <c r="E340" s="1" t="s">
        <v>14</v>
      </c>
      <c r="F340" s="1" t="s">
        <v>15</v>
      </c>
      <c r="G340" s="2">
        <v>45265</v>
      </c>
      <c r="H340" s="3">
        <v>369</v>
      </c>
      <c r="I340" s="3">
        <v>337.42</v>
      </c>
      <c r="J340" s="3">
        <v>91.64</v>
      </c>
      <c r="K340" t="str">
        <f>IF(B340="", VLOOKUP(C340, Mapping!A:B, 2, FALSE), B340)</f>
        <v>West</v>
      </c>
      <c r="L340" t="str">
        <f t="shared" si="15"/>
        <v>Furniture</v>
      </c>
      <c r="M340">
        <f>IF(H340="", AVERAGEIF(Dataset!D:D, D340, Dataset!H:H), H340)</f>
        <v>369</v>
      </c>
      <c r="N340">
        <f>IF(I340="", AVERAGEIF(Dataset!D:D, D340, Dataset!I:I), I340)</f>
        <v>337.42</v>
      </c>
      <c r="O340">
        <f t="shared" si="16"/>
        <v>124507.98000000001</v>
      </c>
      <c r="P340">
        <f t="shared" si="17"/>
        <v>90692.82</v>
      </c>
    </row>
    <row r="341" spans="1:16" ht="29.4" thickBot="1" x14ac:dyDescent="0.35">
      <c r="A341" s="1" t="s">
        <v>368</v>
      </c>
      <c r="B341" s="1" t="s">
        <v>17</v>
      </c>
      <c r="C341" s="1" t="s">
        <v>31</v>
      </c>
      <c r="D341" s="1" t="s">
        <v>13</v>
      </c>
      <c r="E341" s="1" t="s">
        <v>14</v>
      </c>
      <c r="F341" s="1" t="s">
        <v>28</v>
      </c>
      <c r="G341" s="2">
        <v>45266</v>
      </c>
      <c r="H341" s="3">
        <v>468</v>
      </c>
      <c r="I341" s="3">
        <v>51</v>
      </c>
      <c r="J341" s="3">
        <v>54.28</v>
      </c>
      <c r="K341" t="str">
        <f>IF(B341="", VLOOKUP(C341, Mapping!A:B, 2, FALSE), B341)</f>
        <v>West</v>
      </c>
      <c r="L341" t="str">
        <f t="shared" si="15"/>
        <v>Beverages</v>
      </c>
      <c r="M341">
        <f>IF(H341="", AVERAGEIF(Dataset!D:D, D341, Dataset!H:H), H341)</f>
        <v>468</v>
      </c>
      <c r="N341">
        <f>IF(I341="", AVERAGEIF(Dataset!D:D, D341, Dataset!I:I), I341)</f>
        <v>51</v>
      </c>
      <c r="O341">
        <f t="shared" si="16"/>
        <v>23868</v>
      </c>
      <c r="P341">
        <f t="shared" si="17"/>
        <v>0</v>
      </c>
    </row>
    <row r="342" spans="1:16" ht="15" thickBot="1" x14ac:dyDescent="0.35">
      <c r="A342" s="1" t="s">
        <v>369</v>
      </c>
      <c r="B342" s="1" t="s">
        <v>11</v>
      </c>
      <c r="C342" s="1" t="s">
        <v>50</v>
      </c>
      <c r="D342" s="1" t="s">
        <v>23</v>
      </c>
      <c r="E342" s="1" t="s">
        <v>24</v>
      </c>
      <c r="F342" s="1" t="s">
        <v>15</v>
      </c>
      <c r="G342" s="2">
        <v>45267</v>
      </c>
      <c r="H342" s="3">
        <v>326</v>
      </c>
      <c r="I342" s="3">
        <v>132.24</v>
      </c>
      <c r="J342" s="3">
        <v>160.74</v>
      </c>
      <c r="K342" t="str">
        <f>IF(B342="", VLOOKUP(C342, Mapping!A:B, 2, FALSE), B342)</f>
        <v>East</v>
      </c>
      <c r="L342" t="str">
        <f t="shared" si="15"/>
        <v>Clothing</v>
      </c>
      <c r="M342">
        <f>IF(H342="", AVERAGEIF(Dataset!D:D, D342, Dataset!H:H), H342)</f>
        <v>326</v>
      </c>
      <c r="N342">
        <f>IF(I342="", AVERAGEIF(Dataset!D:D, D342, Dataset!I:I), I342)</f>
        <v>132.24</v>
      </c>
      <c r="O342">
        <f t="shared" si="16"/>
        <v>43110.240000000005</v>
      </c>
      <c r="P342">
        <f t="shared" si="17"/>
        <v>0</v>
      </c>
    </row>
    <row r="343" spans="1:16" ht="29.4" thickBot="1" x14ac:dyDescent="0.35">
      <c r="A343" s="1" t="s">
        <v>370</v>
      </c>
      <c r="B343" s="1" t="s">
        <v>17</v>
      </c>
      <c r="C343" s="1" t="s">
        <v>18</v>
      </c>
      <c r="D343" s="1" t="s">
        <v>42</v>
      </c>
      <c r="E343" s="1" t="s">
        <v>24</v>
      </c>
      <c r="F343" s="1" t="s">
        <v>28</v>
      </c>
      <c r="G343" s="2">
        <v>45268</v>
      </c>
      <c r="H343" s="3">
        <v>460</v>
      </c>
      <c r="I343" s="3">
        <v>395.01</v>
      </c>
      <c r="J343" s="3">
        <v>369.2</v>
      </c>
      <c r="K343" t="str">
        <f>IF(B343="", VLOOKUP(C343, Mapping!A:B, 2, FALSE), B343)</f>
        <v>West</v>
      </c>
      <c r="L343" t="str">
        <f t="shared" si="15"/>
        <v>Electronics</v>
      </c>
      <c r="M343">
        <f>IF(H343="", AVERAGEIF(Dataset!D:D, D343, Dataset!H:H), H343)</f>
        <v>460</v>
      </c>
      <c r="N343">
        <f>IF(I343="", AVERAGEIF(Dataset!D:D, D343, Dataset!I:I), I343)</f>
        <v>395.01</v>
      </c>
      <c r="O343">
        <f t="shared" si="16"/>
        <v>181704.6</v>
      </c>
      <c r="P343">
        <f t="shared" si="17"/>
        <v>11872.6</v>
      </c>
    </row>
    <row r="344" spans="1:16" ht="15" thickBot="1" x14ac:dyDescent="0.35">
      <c r="A344" s="1" t="s">
        <v>371</v>
      </c>
      <c r="B344" s="1" t="s">
        <v>11</v>
      </c>
      <c r="C344" s="1" t="s">
        <v>12</v>
      </c>
      <c r="D344" s="1" t="s">
        <v>27</v>
      </c>
      <c r="E344" s="1" t="s">
        <v>14</v>
      </c>
      <c r="F344" s="1" t="s">
        <v>20</v>
      </c>
      <c r="G344" s="2">
        <v>45269</v>
      </c>
      <c r="H344" s="3">
        <v>132</v>
      </c>
      <c r="I344" s="3">
        <v>433.02</v>
      </c>
      <c r="J344" s="3">
        <v>189.88</v>
      </c>
      <c r="K344" t="str">
        <f>IF(B344="", VLOOKUP(C344, Mapping!A:B, 2, FALSE), B344)</f>
        <v>East</v>
      </c>
      <c r="L344" t="str">
        <f t="shared" si="15"/>
        <v>Furniture</v>
      </c>
      <c r="M344">
        <f>IF(H344="", AVERAGEIF(Dataset!D:D, D344, Dataset!H:H), H344)</f>
        <v>132</v>
      </c>
      <c r="N344">
        <f>IF(I344="", AVERAGEIF(Dataset!D:D, D344, Dataset!I:I), I344)</f>
        <v>433.02</v>
      </c>
      <c r="O344">
        <f t="shared" si="16"/>
        <v>57158.64</v>
      </c>
      <c r="P344">
        <f t="shared" si="17"/>
        <v>32094.48</v>
      </c>
    </row>
    <row r="345" spans="1:16" ht="15" thickBot="1" x14ac:dyDescent="0.35">
      <c r="A345" s="1" t="s">
        <v>372</v>
      </c>
      <c r="B345" s="1" t="s">
        <v>48</v>
      </c>
      <c r="C345" s="1" t="s">
        <v>18</v>
      </c>
      <c r="D345" s="1" t="s">
        <v>19</v>
      </c>
      <c r="E345" s="1" t="s">
        <v>24</v>
      </c>
      <c r="F345" s="1" t="s">
        <v>15</v>
      </c>
      <c r="G345" s="2">
        <v>45270</v>
      </c>
      <c r="H345" s="3">
        <v>399</v>
      </c>
      <c r="I345" s="3">
        <v>306.2</v>
      </c>
      <c r="J345" s="3">
        <v>7.33</v>
      </c>
      <c r="K345" t="str">
        <f>IF(B345="", VLOOKUP(C345, Mapping!A:B, 2, FALSE), B345)</f>
        <v>South</v>
      </c>
      <c r="L345" t="str">
        <f t="shared" si="15"/>
        <v>Food</v>
      </c>
      <c r="M345">
        <f>IF(H345="", AVERAGEIF(Dataset!D:D, D345, Dataset!H:H), H345)</f>
        <v>399</v>
      </c>
      <c r="N345">
        <f>IF(I345="", AVERAGEIF(Dataset!D:D, D345, Dataset!I:I), I345)</f>
        <v>306.2</v>
      </c>
      <c r="O345">
        <f t="shared" si="16"/>
        <v>122173.79999999999</v>
      </c>
      <c r="P345">
        <f t="shared" si="17"/>
        <v>119249.13</v>
      </c>
    </row>
    <row r="346" spans="1:16" ht="15" thickBot="1" x14ac:dyDescent="0.35">
      <c r="A346" s="1" t="s">
        <v>373</v>
      </c>
      <c r="B346" s="1" t="s">
        <v>11</v>
      </c>
      <c r="C346" s="1" t="s">
        <v>18</v>
      </c>
      <c r="D346" s="1" t="s">
        <v>23</v>
      </c>
      <c r="E346" s="1" t="s">
        <v>14</v>
      </c>
      <c r="F346" s="1" t="s">
        <v>20</v>
      </c>
      <c r="G346" s="2">
        <v>45271</v>
      </c>
      <c r="H346" s="3">
        <v>18</v>
      </c>
      <c r="I346" s="3">
        <v>255.89</v>
      </c>
      <c r="J346" s="3">
        <v>114.53</v>
      </c>
      <c r="K346" t="str">
        <f>IF(B346="", VLOOKUP(C346, Mapping!A:B, 2, FALSE), B346)</f>
        <v>East</v>
      </c>
      <c r="L346" t="str">
        <f t="shared" si="15"/>
        <v>Clothing</v>
      </c>
      <c r="M346">
        <f>IF(H346="", AVERAGEIF(Dataset!D:D, D346, Dataset!H:H), H346)</f>
        <v>18</v>
      </c>
      <c r="N346">
        <f>IF(I346="", AVERAGEIF(Dataset!D:D, D346, Dataset!I:I), I346)</f>
        <v>255.89</v>
      </c>
      <c r="O346">
        <f t="shared" si="16"/>
        <v>4606.0199999999995</v>
      </c>
      <c r="P346">
        <f t="shared" si="17"/>
        <v>2544.4799999999996</v>
      </c>
    </row>
    <row r="347" spans="1:16" ht="15" thickBot="1" x14ac:dyDescent="0.35">
      <c r="A347" s="1" t="s">
        <v>374</v>
      </c>
      <c r="B347" s="1" t="s">
        <v>11</v>
      </c>
      <c r="C347" s="1" t="s">
        <v>50</v>
      </c>
      <c r="D347" s="1" t="s">
        <v>23</v>
      </c>
      <c r="E347" s="1" t="s">
        <v>14</v>
      </c>
      <c r="F347" s="1" t="s">
        <v>20</v>
      </c>
      <c r="G347" s="2">
        <v>45272</v>
      </c>
      <c r="H347" s="3">
        <v>271</v>
      </c>
      <c r="I347" s="3">
        <v>83.86</v>
      </c>
      <c r="J347" s="3">
        <v>19.75</v>
      </c>
      <c r="K347" t="str">
        <f>IF(B347="", VLOOKUP(C347, Mapping!A:B, 2, FALSE), B347)</f>
        <v>East</v>
      </c>
      <c r="L347" t="str">
        <f t="shared" si="15"/>
        <v>Clothing</v>
      </c>
      <c r="M347">
        <f>IF(H347="", AVERAGEIF(Dataset!D:D, D347, Dataset!H:H), H347)</f>
        <v>271</v>
      </c>
      <c r="N347">
        <f>IF(I347="", AVERAGEIF(Dataset!D:D, D347, Dataset!I:I), I347)</f>
        <v>83.86</v>
      </c>
      <c r="O347">
        <f t="shared" si="16"/>
        <v>22726.06</v>
      </c>
      <c r="P347">
        <f t="shared" si="17"/>
        <v>17373.810000000001</v>
      </c>
    </row>
    <row r="348" spans="1:16" ht="29.4" thickBot="1" x14ac:dyDescent="0.35">
      <c r="A348" s="1" t="s">
        <v>375</v>
      </c>
      <c r="B348" s="1"/>
      <c r="C348" s="1" t="s">
        <v>12</v>
      </c>
      <c r="D348" s="1" t="s">
        <v>42</v>
      </c>
      <c r="E348" s="1" t="s">
        <v>14</v>
      </c>
      <c r="F348" s="1" t="s">
        <v>15</v>
      </c>
      <c r="G348" s="2">
        <v>45273</v>
      </c>
      <c r="H348" s="3">
        <v>82</v>
      </c>
      <c r="I348" s="3">
        <v>36.24</v>
      </c>
      <c r="J348" s="3">
        <v>16.440000000000001</v>
      </c>
      <c r="K348" t="str">
        <f>IF(B348="", VLOOKUP(C348, Mapping!A:B, 2, FALSE), B348)</f>
        <v>East</v>
      </c>
      <c r="L348" t="str">
        <f t="shared" si="15"/>
        <v>Electronics</v>
      </c>
      <c r="M348">
        <f>IF(H348="", AVERAGEIF(Dataset!D:D, D348, Dataset!H:H), H348)</f>
        <v>82</v>
      </c>
      <c r="N348">
        <f>IF(I348="", AVERAGEIF(Dataset!D:D, D348, Dataset!I:I), I348)</f>
        <v>36.24</v>
      </c>
      <c r="O348">
        <f t="shared" si="16"/>
        <v>2971.6800000000003</v>
      </c>
      <c r="P348">
        <f t="shared" si="17"/>
        <v>1623.6000000000001</v>
      </c>
    </row>
    <row r="349" spans="1:16" ht="15" thickBot="1" x14ac:dyDescent="0.35">
      <c r="A349" s="1" t="s">
        <v>376</v>
      </c>
      <c r="B349" s="1" t="s">
        <v>17</v>
      </c>
      <c r="C349" s="1" t="s">
        <v>12</v>
      </c>
      <c r="D349" s="1" t="s">
        <v>19</v>
      </c>
      <c r="E349" s="1" t="s">
        <v>14</v>
      </c>
      <c r="F349" s="1" t="s">
        <v>15</v>
      </c>
      <c r="G349" s="2">
        <v>45274</v>
      </c>
      <c r="H349" s="3">
        <v>368</v>
      </c>
      <c r="I349" s="3">
        <v>63.24</v>
      </c>
      <c r="J349" s="3">
        <v>111.74</v>
      </c>
      <c r="K349" t="str">
        <f>IF(B349="", VLOOKUP(C349, Mapping!A:B, 2, FALSE), B349)</f>
        <v>West</v>
      </c>
      <c r="L349" t="str">
        <f t="shared" si="15"/>
        <v>Food</v>
      </c>
      <c r="M349">
        <f>IF(H349="", AVERAGEIF(Dataset!D:D, D349, Dataset!H:H), H349)</f>
        <v>368</v>
      </c>
      <c r="N349">
        <f>IF(I349="", AVERAGEIF(Dataset!D:D, D349, Dataset!I:I), I349)</f>
        <v>63.24</v>
      </c>
      <c r="O349">
        <f t="shared" si="16"/>
        <v>23272.32</v>
      </c>
      <c r="P349">
        <f t="shared" si="17"/>
        <v>0</v>
      </c>
    </row>
    <row r="350" spans="1:16" ht="15" thickBot="1" x14ac:dyDescent="0.35">
      <c r="A350" s="1" t="s">
        <v>377</v>
      </c>
      <c r="B350" s="1" t="s">
        <v>17</v>
      </c>
      <c r="C350" s="1" t="s">
        <v>12</v>
      </c>
      <c r="D350" s="1" t="s">
        <v>13</v>
      </c>
      <c r="E350" s="1" t="s">
        <v>14</v>
      </c>
      <c r="F350" s="1" t="s">
        <v>20</v>
      </c>
      <c r="G350" s="2">
        <v>45275</v>
      </c>
      <c r="H350" s="3">
        <v>232</v>
      </c>
      <c r="I350" s="3">
        <v>117.54</v>
      </c>
      <c r="J350" s="3">
        <v>111.69</v>
      </c>
      <c r="K350" t="str">
        <f>IF(B350="", VLOOKUP(C350, Mapping!A:B, 2, FALSE), B350)</f>
        <v>West</v>
      </c>
      <c r="L350" t="str">
        <f t="shared" si="15"/>
        <v>Beverages</v>
      </c>
      <c r="M350">
        <f>IF(H350="", AVERAGEIF(Dataset!D:D, D350, Dataset!H:H), H350)</f>
        <v>232</v>
      </c>
      <c r="N350">
        <f>IF(I350="", AVERAGEIF(Dataset!D:D, D350, Dataset!I:I), I350)</f>
        <v>117.54</v>
      </c>
      <c r="O350">
        <f t="shared" si="16"/>
        <v>27269.280000000002</v>
      </c>
      <c r="P350">
        <f t="shared" si="17"/>
        <v>1357.2000000000021</v>
      </c>
    </row>
    <row r="351" spans="1:16" x14ac:dyDescent="0.3">
      <c r="A351" s="9" t="s">
        <v>378</v>
      </c>
      <c r="B351" s="9" t="s">
        <v>11</v>
      </c>
      <c r="C351" s="9" t="s">
        <v>31</v>
      </c>
      <c r="D351" s="9" t="s">
        <v>23</v>
      </c>
      <c r="E351" s="9" t="s">
        <v>24</v>
      </c>
      <c r="F351" s="9" t="s">
        <v>15</v>
      </c>
      <c r="G351" s="10">
        <v>45276</v>
      </c>
      <c r="H351" s="11">
        <v>425</v>
      </c>
      <c r="I351" s="11">
        <v>174.13</v>
      </c>
      <c r="J351" s="11">
        <v>315.27999999999997</v>
      </c>
      <c r="K351" t="str">
        <f>IF(B351="", VLOOKUP(C351, Mapping!A:B, 2, FALSE), B351)</f>
        <v>East</v>
      </c>
      <c r="L351" t="str">
        <f t="shared" si="15"/>
        <v>Clothing</v>
      </c>
      <c r="M351">
        <f>IF(H351="", AVERAGEIF(Dataset!D:D, D351, Dataset!H:H), H351)</f>
        <v>425</v>
      </c>
      <c r="N351">
        <f>IF(I351="", AVERAGEIF(Dataset!D:D, D351, Dataset!I:I), I351)</f>
        <v>174.13</v>
      </c>
      <c r="O351">
        <f t="shared" si="16"/>
        <v>74005.25</v>
      </c>
      <c r="P351">
        <f t="shared" si="17"/>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E7413-161C-460D-B780-0FA7C32CD9D9}">
  <dimension ref="A1:B7"/>
  <sheetViews>
    <sheetView workbookViewId="0">
      <selection activeCell="I11" sqref="I11"/>
    </sheetView>
  </sheetViews>
  <sheetFormatPr defaultRowHeight="14.4" x14ac:dyDescent="0.3"/>
  <cols>
    <col min="1" max="1" width="16.44140625" customWidth="1"/>
  </cols>
  <sheetData>
    <row r="1" spans="1:2" x14ac:dyDescent="0.3">
      <c r="A1" s="4" t="s">
        <v>2</v>
      </c>
      <c r="B1" s="4" t="s">
        <v>1</v>
      </c>
    </row>
    <row r="2" spans="1:2" x14ac:dyDescent="0.3">
      <c r="A2" s="5" t="s">
        <v>26</v>
      </c>
      <c r="B2" s="5" t="s">
        <v>11</v>
      </c>
    </row>
    <row r="3" spans="1:2" x14ac:dyDescent="0.3">
      <c r="A3" s="5" t="s">
        <v>18</v>
      </c>
      <c r="B3" s="5" t="s">
        <v>11</v>
      </c>
    </row>
    <row r="4" spans="1:2" x14ac:dyDescent="0.3">
      <c r="A4" s="5" t="s">
        <v>12</v>
      </c>
      <c r="B4" s="5" t="s">
        <v>11</v>
      </c>
    </row>
    <row r="5" spans="1:2" x14ac:dyDescent="0.3">
      <c r="A5" s="5" t="s">
        <v>31</v>
      </c>
      <c r="B5" s="5" t="s">
        <v>17</v>
      </c>
    </row>
    <row r="6" spans="1:2" x14ac:dyDescent="0.3">
      <c r="A6" s="5" t="s">
        <v>50</v>
      </c>
      <c r="B6" s="5" t="s">
        <v>48</v>
      </c>
    </row>
    <row r="7" spans="1:2" x14ac:dyDescent="0.3">
      <c r="A7" s="6"/>
      <c r="B7"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5C1FB-180E-4862-8FB0-7E37E2A3CF90}">
  <dimension ref="A1:H115"/>
  <sheetViews>
    <sheetView tabSelected="1" workbookViewId="0">
      <selection activeCell="H21" sqref="H21"/>
    </sheetView>
  </sheetViews>
  <sheetFormatPr defaultRowHeight="14.4" x14ac:dyDescent="0.3"/>
  <sheetData>
    <row r="1" spans="1:8" ht="15.6" x14ac:dyDescent="0.3">
      <c r="A1" s="17" t="s">
        <v>379</v>
      </c>
      <c r="B1" s="15"/>
      <c r="C1" s="15"/>
      <c r="D1" s="15"/>
      <c r="E1" s="15"/>
      <c r="F1" s="15"/>
      <c r="G1" s="15"/>
      <c r="H1" s="15"/>
    </row>
    <row r="2" spans="1:8" x14ac:dyDescent="0.3">
      <c r="A2" s="15"/>
      <c r="B2" s="15"/>
      <c r="C2" s="15"/>
      <c r="D2" s="15"/>
      <c r="E2" s="15"/>
      <c r="F2" s="15"/>
      <c r="G2" s="15"/>
      <c r="H2" s="15"/>
    </row>
    <row r="3" spans="1:8" x14ac:dyDescent="0.3">
      <c r="A3" s="16" t="s">
        <v>380</v>
      </c>
      <c r="B3" s="15"/>
      <c r="C3" s="15"/>
      <c r="D3" s="15"/>
      <c r="E3" s="15"/>
      <c r="F3" s="15"/>
      <c r="G3" s="15"/>
      <c r="H3" s="15"/>
    </row>
    <row r="4" spans="1:8" x14ac:dyDescent="0.3">
      <c r="A4" s="15" t="s">
        <v>448</v>
      </c>
      <c r="B4" s="15"/>
      <c r="C4" s="15"/>
      <c r="D4" s="15"/>
      <c r="E4" s="15"/>
      <c r="F4" s="15"/>
      <c r="G4" s="15"/>
      <c r="H4" s="15"/>
    </row>
    <row r="5" spans="1:8" x14ac:dyDescent="0.3">
      <c r="A5" s="15" t="s">
        <v>449</v>
      </c>
      <c r="B5" s="15"/>
      <c r="C5" s="15"/>
      <c r="D5" s="15"/>
      <c r="E5" s="15"/>
      <c r="F5" s="15"/>
      <c r="G5" s="15"/>
      <c r="H5" s="15"/>
    </row>
    <row r="6" spans="1:8" x14ac:dyDescent="0.3">
      <c r="A6" s="15" t="s">
        <v>450</v>
      </c>
      <c r="B6" s="15"/>
      <c r="C6" s="15"/>
      <c r="D6" s="15"/>
      <c r="E6" s="15"/>
      <c r="F6" s="15"/>
      <c r="G6" s="15"/>
      <c r="H6" s="15"/>
    </row>
    <row r="7" spans="1:8" x14ac:dyDescent="0.3">
      <c r="A7" s="15" t="s">
        <v>451</v>
      </c>
      <c r="B7" s="15"/>
      <c r="C7" s="15"/>
      <c r="D7" s="15"/>
      <c r="E7" s="15"/>
      <c r="F7" s="15"/>
      <c r="G7" s="15"/>
      <c r="H7" s="15"/>
    </row>
    <row r="8" spans="1:8" x14ac:dyDescent="0.3">
      <c r="A8" s="15" t="s">
        <v>452</v>
      </c>
      <c r="B8" s="15"/>
      <c r="C8" s="15"/>
      <c r="D8" s="15"/>
      <c r="E8" s="15"/>
      <c r="F8" s="15"/>
      <c r="G8" s="15"/>
      <c r="H8" s="15"/>
    </row>
    <row r="9" spans="1:8" x14ac:dyDescent="0.3">
      <c r="A9" s="15"/>
      <c r="B9" s="15"/>
      <c r="C9" s="15"/>
      <c r="D9" s="15"/>
      <c r="E9" s="15"/>
      <c r="F9" s="15"/>
      <c r="G9" s="15"/>
      <c r="H9" s="15"/>
    </row>
    <row r="10" spans="1:8" x14ac:dyDescent="0.3">
      <c r="A10" s="16" t="s">
        <v>453</v>
      </c>
      <c r="B10" s="15"/>
      <c r="C10" s="15"/>
      <c r="D10" s="15"/>
      <c r="E10" s="15"/>
      <c r="F10" s="15"/>
      <c r="G10" s="15"/>
      <c r="H10" s="15"/>
    </row>
    <row r="11" spans="1:8" x14ac:dyDescent="0.3">
      <c r="A11" s="15"/>
      <c r="B11" s="15" t="s">
        <v>454</v>
      </c>
      <c r="C11" s="15"/>
      <c r="D11" s="15"/>
      <c r="E11" s="15"/>
      <c r="F11" s="15"/>
      <c r="G11" s="15"/>
      <c r="H11" s="15"/>
    </row>
    <row r="12" spans="1:8" x14ac:dyDescent="0.3">
      <c r="A12" s="15"/>
      <c r="B12" s="15" t="s">
        <v>455</v>
      </c>
      <c r="C12" s="15"/>
      <c r="D12" s="15"/>
      <c r="E12" s="15"/>
      <c r="F12" s="15"/>
      <c r="G12" s="15"/>
      <c r="H12" s="15"/>
    </row>
    <row r="13" spans="1:8" x14ac:dyDescent="0.3">
      <c r="A13" s="15"/>
      <c r="B13" s="15" t="s">
        <v>456</v>
      </c>
      <c r="C13" s="15"/>
      <c r="D13" s="15"/>
      <c r="E13" s="15"/>
      <c r="F13" s="15"/>
      <c r="G13" s="15"/>
      <c r="H13" s="15"/>
    </row>
    <row r="14" spans="1:8" x14ac:dyDescent="0.3">
      <c r="A14" s="15"/>
      <c r="B14" s="15" t="s">
        <v>457</v>
      </c>
      <c r="C14" s="15"/>
      <c r="D14" s="15"/>
      <c r="E14" s="15"/>
      <c r="F14" s="15"/>
      <c r="G14" s="15"/>
      <c r="H14" s="15"/>
    </row>
    <row r="15" spans="1:8" x14ac:dyDescent="0.3">
      <c r="A15" s="15"/>
      <c r="B15" s="15"/>
      <c r="C15" s="15"/>
      <c r="D15" s="15"/>
      <c r="E15" s="15"/>
      <c r="F15" s="15"/>
      <c r="G15" s="15"/>
      <c r="H15" s="15"/>
    </row>
    <row r="16" spans="1:8" x14ac:dyDescent="0.3">
      <c r="A16" s="15"/>
      <c r="B16" s="15"/>
      <c r="C16" s="15"/>
      <c r="D16" s="15"/>
      <c r="E16" s="15"/>
      <c r="F16" s="15"/>
      <c r="G16" s="15"/>
      <c r="H16" s="15"/>
    </row>
    <row r="17" spans="1:8" ht="15.6" x14ac:dyDescent="0.3">
      <c r="A17" s="17" t="s">
        <v>381</v>
      </c>
      <c r="B17" s="15"/>
      <c r="C17" s="15"/>
      <c r="D17" s="15"/>
      <c r="E17" s="15"/>
      <c r="F17" s="15"/>
      <c r="G17" s="15"/>
      <c r="H17" s="15"/>
    </row>
    <row r="18" spans="1:8" x14ac:dyDescent="0.3">
      <c r="A18" s="15"/>
      <c r="B18" s="15"/>
      <c r="C18" s="15"/>
      <c r="D18" s="15"/>
      <c r="E18" s="15"/>
      <c r="F18" s="15"/>
      <c r="G18" s="15"/>
      <c r="H18" s="15"/>
    </row>
    <row r="19" spans="1:8" x14ac:dyDescent="0.3">
      <c r="A19" s="15" t="s">
        <v>459</v>
      </c>
      <c r="B19" s="15"/>
      <c r="C19" s="15"/>
      <c r="D19" s="15"/>
      <c r="E19" s="15"/>
      <c r="F19" s="15"/>
      <c r="G19" s="15"/>
      <c r="H19" s="15"/>
    </row>
    <row r="20" spans="1:8" x14ac:dyDescent="0.3">
      <c r="A20" s="15" t="s">
        <v>458</v>
      </c>
      <c r="B20" s="15"/>
      <c r="C20" s="15"/>
      <c r="D20" s="15"/>
      <c r="E20" s="15"/>
      <c r="F20" s="15"/>
      <c r="G20" s="15"/>
      <c r="H20" s="15"/>
    </row>
    <row r="21" spans="1:8" x14ac:dyDescent="0.3">
      <c r="A21" s="15"/>
      <c r="B21" s="15"/>
      <c r="C21" s="15"/>
      <c r="D21" s="15"/>
      <c r="E21" s="15"/>
      <c r="F21" s="15"/>
      <c r="G21" s="15"/>
      <c r="H21" s="15"/>
    </row>
    <row r="22" spans="1:8" ht="15.6" x14ac:dyDescent="0.3">
      <c r="A22" s="17" t="s">
        <v>385</v>
      </c>
      <c r="B22" s="15"/>
      <c r="C22" s="15"/>
      <c r="D22" s="15"/>
      <c r="E22" s="15"/>
      <c r="F22" s="15"/>
      <c r="G22" s="15"/>
      <c r="H22" s="15"/>
    </row>
    <row r="23" spans="1:8" x14ac:dyDescent="0.3">
      <c r="A23" s="15"/>
      <c r="B23" s="15"/>
      <c r="C23" s="15"/>
      <c r="D23" s="15"/>
      <c r="E23" s="15"/>
      <c r="F23" s="15"/>
      <c r="G23" s="15"/>
      <c r="H23" s="15"/>
    </row>
    <row r="24" spans="1:8" x14ac:dyDescent="0.3">
      <c r="A24" s="15" t="s">
        <v>389</v>
      </c>
      <c r="B24" s="15"/>
      <c r="C24" s="15"/>
      <c r="D24" s="15"/>
      <c r="E24" s="15"/>
      <c r="F24" s="18" t="s">
        <v>388</v>
      </c>
      <c r="G24" s="15"/>
      <c r="H24" s="15"/>
    </row>
    <row r="25" spans="1:8" x14ac:dyDescent="0.3">
      <c r="A25" s="15" t="s">
        <v>390</v>
      </c>
      <c r="B25" s="15"/>
      <c r="C25" s="15"/>
      <c r="D25" s="15"/>
      <c r="E25" s="15"/>
      <c r="F25" s="18" t="s">
        <v>387</v>
      </c>
      <c r="G25" s="15"/>
      <c r="H25" s="15"/>
    </row>
    <row r="26" spans="1:8" x14ac:dyDescent="0.3">
      <c r="A26" s="15"/>
      <c r="B26" s="15"/>
      <c r="C26" s="15"/>
      <c r="D26" s="15"/>
      <c r="E26" s="15"/>
      <c r="F26" s="15"/>
      <c r="G26" s="15"/>
      <c r="H26" s="15"/>
    </row>
    <row r="27" spans="1:8" ht="15.6" x14ac:dyDescent="0.3">
      <c r="A27" s="17" t="s">
        <v>391</v>
      </c>
      <c r="B27" s="15"/>
      <c r="C27" s="15"/>
      <c r="D27" s="15"/>
      <c r="E27" s="15"/>
      <c r="F27" s="15"/>
      <c r="G27" s="15"/>
      <c r="H27" s="15"/>
    </row>
    <row r="28" spans="1:8" x14ac:dyDescent="0.3">
      <c r="A28" s="15"/>
      <c r="B28" s="15"/>
      <c r="C28" s="15"/>
      <c r="D28" s="15"/>
      <c r="E28" s="15"/>
      <c r="F28" s="15"/>
      <c r="G28" s="15"/>
      <c r="H28" s="15"/>
    </row>
    <row r="29" spans="1:8" x14ac:dyDescent="0.3">
      <c r="A29" s="18" t="s">
        <v>393</v>
      </c>
      <c r="B29" s="15"/>
      <c r="C29" s="15"/>
      <c r="D29" s="15"/>
      <c r="E29" s="15"/>
      <c r="F29" s="15"/>
      <c r="G29" s="15"/>
      <c r="H29" s="15"/>
    </row>
    <row r="30" spans="1:8" x14ac:dyDescent="0.3">
      <c r="A30" s="15"/>
      <c r="B30" s="15"/>
      <c r="C30" s="15"/>
      <c r="D30" s="15"/>
      <c r="E30" s="15"/>
      <c r="F30" s="15"/>
      <c r="G30" s="15"/>
      <c r="H30" s="15"/>
    </row>
    <row r="31" spans="1:8" ht="15.6" x14ac:dyDescent="0.3">
      <c r="A31" s="17" t="s">
        <v>394</v>
      </c>
      <c r="B31" s="15"/>
      <c r="C31" s="15"/>
      <c r="D31" s="15"/>
      <c r="E31" s="15"/>
      <c r="F31" s="15"/>
      <c r="G31" s="15"/>
      <c r="H31" s="15"/>
    </row>
    <row r="32" spans="1:8" x14ac:dyDescent="0.3">
      <c r="A32" s="15"/>
      <c r="B32" s="15"/>
      <c r="C32" s="15"/>
      <c r="D32" s="15"/>
      <c r="E32" s="15"/>
      <c r="F32" s="15"/>
      <c r="G32" s="15"/>
      <c r="H32" s="15"/>
    </row>
    <row r="33" spans="1:8" x14ac:dyDescent="0.3">
      <c r="A33" s="15"/>
      <c r="B33" s="19">
        <f>VLOOKUP("ORD0123", Dataset!A:H, 8, FALSE)</f>
        <v>46</v>
      </c>
      <c r="C33" s="15"/>
      <c r="D33" s="15" t="s">
        <v>460</v>
      </c>
      <c r="E33" s="15"/>
      <c r="F33" s="15"/>
      <c r="G33" s="15"/>
      <c r="H33" s="15"/>
    </row>
    <row r="34" spans="1:8" x14ac:dyDescent="0.3">
      <c r="A34" s="15"/>
      <c r="B34" s="15"/>
      <c r="C34" s="15"/>
      <c r="D34" s="15"/>
      <c r="E34" s="15"/>
      <c r="F34" s="15"/>
      <c r="G34" s="15"/>
      <c r="H34" s="15"/>
    </row>
    <row r="35" spans="1:8" ht="15.6" x14ac:dyDescent="0.3">
      <c r="A35" s="17" t="s">
        <v>395</v>
      </c>
      <c r="B35" s="15"/>
      <c r="C35" s="15"/>
      <c r="D35" s="15"/>
      <c r="E35" s="15"/>
      <c r="F35" s="15"/>
      <c r="G35" s="15"/>
      <c r="H35" s="15"/>
    </row>
    <row r="36" spans="1:8" x14ac:dyDescent="0.3">
      <c r="A36" s="15"/>
      <c r="B36" s="15"/>
      <c r="C36" s="15"/>
      <c r="D36" s="15"/>
      <c r="E36" s="15"/>
      <c r="F36" s="15"/>
      <c r="G36" s="15"/>
      <c r="H36" s="15"/>
    </row>
    <row r="37" spans="1:8" x14ac:dyDescent="0.3">
      <c r="A37" s="15" t="s">
        <v>461</v>
      </c>
      <c r="B37" s="15"/>
      <c r="C37" s="15"/>
      <c r="D37" s="15"/>
      <c r="E37" s="15"/>
      <c r="F37" s="15"/>
      <c r="G37" s="15"/>
      <c r="H37" s="15"/>
    </row>
    <row r="38" spans="1:8" x14ac:dyDescent="0.3">
      <c r="A38" s="15"/>
      <c r="B38" s="15" t="s">
        <v>401</v>
      </c>
      <c r="C38" s="15"/>
      <c r="D38" s="15"/>
      <c r="E38" s="15"/>
      <c r="F38" s="15"/>
      <c r="G38" s="15" t="s">
        <v>470</v>
      </c>
      <c r="H38" s="15"/>
    </row>
    <row r="39" spans="1:8" x14ac:dyDescent="0.3">
      <c r="A39" s="15"/>
      <c r="B39" s="15"/>
      <c r="C39" s="15"/>
      <c r="D39" s="15"/>
      <c r="E39" s="15"/>
      <c r="F39" s="15"/>
      <c r="G39" s="15"/>
      <c r="H39" s="15"/>
    </row>
    <row r="40" spans="1:8" x14ac:dyDescent="0.3">
      <c r="A40" s="15" t="s">
        <v>462</v>
      </c>
      <c r="B40" s="15"/>
      <c r="C40" s="15"/>
      <c r="D40" s="15"/>
      <c r="E40" s="15"/>
      <c r="F40" s="15"/>
      <c r="G40" s="15"/>
      <c r="H40" s="15"/>
    </row>
    <row r="41" spans="1:8" x14ac:dyDescent="0.3">
      <c r="A41" s="15"/>
      <c r="B41" s="15"/>
      <c r="C41" s="15"/>
      <c r="D41" s="15"/>
      <c r="E41" s="15"/>
      <c r="F41" s="15"/>
      <c r="G41" s="15"/>
      <c r="H41" s="15"/>
    </row>
    <row r="42" spans="1:8" x14ac:dyDescent="0.3">
      <c r="A42" s="15" t="s">
        <v>463</v>
      </c>
      <c r="B42" s="15"/>
      <c r="C42" s="15"/>
      <c r="D42" s="15"/>
      <c r="E42" s="15"/>
      <c r="F42" s="15"/>
      <c r="G42" s="15"/>
      <c r="H42" s="15"/>
    </row>
    <row r="43" spans="1:8" x14ac:dyDescent="0.3">
      <c r="A43" s="15"/>
      <c r="B43" s="15"/>
      <c r="C43" s="15"/>
      <c r="D43" s="15"/>
      <c r="E43" s="15"/>
      <c r="F43" s="15"/>
      <c r="G43" s="15"/>
      <c r="H43" s="15"/>
    </row>
    <row r="44" spans="1:8" x14ac:dyDescent="0.3">
      <c r="A44" s="15"/>
      <c r="B44" s="15" t="s">
        <v>402</v>
      </c>
      <c r="C44" s="15"/>
      <c r="D44" s="15"/>
      <c r="E44" s="15"/>
      <c r="F44" s="15"/>
      <c r="G44" s="15"/>
      <c r="H44" s="15"/>
    </row>
    <row r="45" spans="1:8" x14ac:dyDescent="0.3">
      <c r="A45" s="15"/>
      <c r="B45" s="15" t="s">
        <v>464</v>
      </c>
      <c r="C45" s="15"/>
      <c r="D45" s="15"/>
      <c r="E45" s="15"/>
      <c r="F45" s="15"/>
      <c r="G45" s="15"/>
      <c r="H45" s="15"/>
    </row>
    <row r="46" spans="1:8" x14ac:dyDescent="0.3">
      <c r="A46" s="15"/>
      <c r="B46" s="15" t="s">
        <v>403</v>
      </c>
      <c r="C46" s="15"/>
      <c r="D46" s="15"/>
      <c r="E46" s="15"/>
      <c r="F46" s="15"/>
      <c r="G46" s="15"/>
      <c r="H46" s="15"/>
    </row>
    <row r="47" spans="1:8" x14ac:dyDescent="0.3">
      <c r="A47" s="15"/>
      <c r="B47" s="15" t="s">
        <v>404</v>
      </c>
      <c r="C47" s="15"/>
      <c r="D47" s="15"/>
      <c r="E47" s="15"/>
      <c r="F47" s="15"/>
      <c r="G47" s="15"/>
      <c r="H47" s="15"/>
    </row>
    <row r="48" spans="1:8" x14ac:dyDescent="0.3">
      <c r="A48" s="15"/>
      <c r="B48" s="15" t="s">
        <v>405</v>
      </c>
      <c r="C48" s="15"/>
      <c r="D48" s="15"/>
      <c r="E48" s="15"/>
      <c r="F48" s="15"/>
      <c r="G48" s="15"/>
      <c r="H48" s="15"/>
    </row>
    <row r="49" spans="1:8" x14ac:dyDescent="0.3">
      <c r="A49" s="15"/>
      <c r="B49" s="15" t="s">
        <v>406</v>
      </c>
      <c r="C49" s="15"/>
      <c r="D49" s="15"/>
      <c r="E49" s="15"/>
      <c r="F49" s="15"/>
      <c r="G49" s="15"/>
      <c r="H49" s="15"/>
    </row>
    <row r="50" spans="1:8" x14ac:dyDescent="0.3">
      <c r="A50" s="15"/>
      <c r="B50" s="15"/>
      <c r="C50" s="15"/>
      <c r="D50" s="15"/>
      <c r="E50" s="15"/>
      <c r="F50" s="15"/>
      <c r="G50" s="15"/>
      <c r="H50" s="15"/>
    </row>
    <row r="51" spans="1:8" x14ac:dyDescent="0.3">
      <c r="A51" s="15" t="s">
        <v>465</v>
      </c>
      <c r="B51" s="15"/>
      <c r="C51" s="15"/>
      <c r="D51" s="15"/>
      <c r="E51" s="15"/>
      <c r="F51" s="15"/>
      <c r="G51" s="15"/>
      <c r="H51" s="15"/>
    </row>
    <row r="52" spans="1:8" x14ac:dyDescent="0.3">
      <c r="A52" s="15"/>
      <c r="B52" s="15"/>
      <c r="C52" s="15"/>
      <c r="D52" s="15"/>
      <c r="E52" s="15"/>
      <c r="F52" s="15"/>
      <c r="G52" s="15"/>
      <c r="H52" s="15"/>
    </row>
    <row r="53" spans="1:8" x14ac:dyDescent="0.3">
      <c r="A53" s="15"/>
      <c r="B53" s="15" t="s">
        <v>407</v>
      </c>
      <c r="C53" s="15"/>
      <c r="D53" s="15"/>
      <c r="E53" s="15"/>
      <c r="F53" s="15"/>
      <c r="G53" s="15"/>
      <c r="H53" s="15"/>
    </row>
    <row r="54" spans="1:8" x14ac:dyDescent="0.3">
      <c r="A54" s="15"/>
      <c r="B54" s="15" t="s">
        <v>408</v>
      </c>
      <c r="C54" s="15"/>
      <c r="D54" s="15"/>
      <c r="E54" s="15"/>
      <c r="F54" s="15"/>
      <c r="G54" s="15"/>
      <c r="H54" s="15"/>
    </row>
    <row r="55" spans="1:8" x14ac:dyDescent="0.3">
      <c r="A55" s="15"/>
      <c r="B55" s="15"/>
      <c r="C55" s="15"/>
      <c r="D55" s="15"/>
      <c r="E55" s="15"/>
      <c r="F55" s="15"/>
      <c r="G55" s="15"/>
      <c r="H55" s="15"/>
    </row>
    <row r="56" spans="1:8" x14ac:dyDescent="0.3">
      <c r="A56" s="15"/>
      <c r="B56" s="15"/>
      <c r="C56" s="15"/>
      <c r="D56" s="15"/>
      <c r="E56" s="15"/>
      <c r="F56" s="15"/>
      <c r="G56" s="15"/>
      <c r="H56" s="15"/>
    </row>
    <row r="57" spans="1:8" ht="15.6" x14ac:dyDescent="0.3">
      <c r="A57" s="17" t="s">
        <v>409</v>
      </c>
      <c r="B57" s="15"/>
      <c r="C57" s="15"/>
      <c r="D57" s="15"/>
      <c r="E57" s="15"/>
      <c r="F57" s="15"/>
      <c r="G57" s="15"/>
      <c r="H57" s="15"/>
    </row>
    <row r="58" spans="1:8" x14ac:dyDescent="0.3">
      <c r="A58" s="15"/>
      <c r="B58" s="15"/>
      <c r="C58" s="15"/>
      <c r="D58" s="15"/>
      <c r="E58" s="15"/>
      <c r="F58" s="15"/>
      <c r="G58" s="15"/>
      <c r="H58" s="15"/>
    </row>
    <row r="59" spans="1:8" x14ac:dyDescent="0.3">
      <c r="A59" s="15" t="s">
        <v>467</v>
      </c>
      <c r="B59" s="15"/>
      <c r="C59" s="15"/>
      <c r="D59" s="15"/>
      <c r="E59" s="15"/>
      <c r="F59" s="15"/>
      <c r="G59" s="15"/>
      <c r="H59" s="15"/>
    </row>
    <row r="60" spans="1:8" x14ac:dyDescent="0.3">
      <c r="A60" s="15"/>
      <c r="B60" s="15" t="s">
        <v>440</v>
      </c>
      <c r="C60" s="15"/>
      <c r="D60" s="15"/>
      <c r="E60" s="15"/>
      <c r="F60" s="15"/>
      <c r="G60" s="15"/>
      <c r="H60" s="15"/>
    </row>
    <row r="61" spans="1:8" x14ac:dyDescent="0.3">
      <c r="A61" s="15"/>
      <c r="B61" s="15" t="s">
        <v>410</v>
      </c>
      <c r="C61" s="15"/>
      <c r="D61" s="15"/>
      <c r="E61" s="15"/>
      <c r="F61" s="15"/>
      <c r="G61" s="15"/>
      <c r="H61" s="15"/>
    </row>
    <row r="62" spans="1:8" x14ac:dyDescent="0.3">
      <c r="A62" s="15"/>
      <c r="B62" s="15"/>
      <c r="C62" s="15"/>
      <c r="D62" s="15"/>
      <c r="E62" s="15"/>
      <c r="F62" s="15"/>
      <c r="G62" s="15"/>
      <c r="H62" s="15"/>
    </row>
    <row r="63" spans="1:8" x14ac:dyDescent="0.3">
      <c r="A63" s="15"/>
      <c r="B63" s="15" t="s">
        <v>411</v>
      </c>
      <c r="C63" s="15"/>
      <c r="D63" s="15"/>
      <c r="E63" s="15"/>
      <c r="F63" s="15"/>
      <c r="G63" s="15"/>
      <c r="H63" s="15"/>
    </row>
    <row r="64" spans="1:8" x14ac:dyDescent="0.3">
      <c r="A64" s="15"/>
      <c r="B64" s="15" t="s">
        <v>412</v>
      </c>
      <c r="C64" s="15"/>
      <c r="D64" s="15"/>
      <c r="E64" s="15"/>
      <c r="F64" s="15"/>
      <c r="G64" s="15"/>
      <c r="H64" s="15"/>
    </row>
    <row r="65" spans="1:8" x14ac:dyDescent="0.3">
      <c r="A65" s="15"/>
      <c r="B65" s="15"/>
      <c r="C65" s="15"/>
      <c r="D65" s="15"/>
      <c r="E65" s="15"/>
      <c r="F65" s="15"/>
      <c r="G65" s="15"/>
      <c r="H65" s="15"/>
    </row>
    <row r="66" spans="1:8" x14ac:dyDescent="0.3">
      <c r="A66" s="15" t="s">
        <v>468</v>
      </c>
      <c r="B66" s="15"/>
      <c r="C66" s="15"/>
      <c r="D66" s="15"/>
      <c r="E66" s="15"/>
      <c r="F66" s="15"/>
      <c r="G66" s="15"/>
      <c r="H66" s="15"/>
    </row>
    <row r="67" spans="1:8" x14ac:dyDescent="0.3">
      <c r="A67" s="15"/>
      <c r="B67" s="15"/>
      <c r="C67" s="15"/>
      <c r="D67" s="15"/>
      <c r="E67" s="15"/>
      <c r="F67" s="15"/>
      <c r="G67" s="15"/>
      <c r="H67" s="15"/>
    </row>
    <row r="68" spans="1:8" x14ac:dyDescent="0.3">
      <c r="A68" s="15"/>
      <c r="B68" s="15" t="s">
        <v>413</v>
      </c>
      <c r="C68" s="15"/>
      <c r="D68" s="15"/>
      <c r="E68" s="15"/>
      <c r="F68" s="15"/>
      <c r="G68" s="15"/>
      <c r="H68" s="15"/>
    </row>
    <row r="69" spans="1:8" x14ac:dyDescent="0.3">
      <c r="A69" s="15"/>
      <c r="B69" s="15" t="s">
        <v>439</v>
      </c>
      <c r="C69" s="15"/>
      <c r="D69" s="15"/>
      <c r="E69" s="15"/>
      <c r="F69" s="15"/>
      <c r="G69" s="15"/>
      <c r="H69" s="15"/>
    </row>
    <row r="70" spans="1:8" x14ac:dyDescent="0.3">
      <c r="A70" s="15"/>
      <c r="B70" s="15" t="s">
        <v>441</v>
      </c>
      <c r="C70" s="15"/>
      <c r="D70" s="15"/>
      <c r="E70" s="15"/>
      <c r="F70" s="15"/>
      <c r="G70" s="15"/>
      <c r="H70" s="15"/>
    </row>
    <row r="71" spans="1:8" x14ac:dyDescent="0.3">
      <c r="A71" s="15"/>
      <c r="B71" s="15" t="s">
        <v>414</v>
      </c>
      <c r="C71" s="15"/>
      <c r="D71" s="15"/>
      <c r="E71" s="15"/>
      <c r="F71" s="15"/>
      <c r="G71" s="15"/>
      <c r="H71" s="15"/>
    </row>
    <row r="72" spans="1:8" x14ac:dyDescent="0.3">
      <c r="A72" s="15"/>
      <c r="B72" s="15"/>
      <c r="C72" s="15" t="s">
        <v>442</v>
      </c>
      <c r="D72" s="15"/>
      <c r="E72" s="15"/>
      <c r="F72" s="15"/>
      <c r="G72" s="15"/>
      <c r="H72" s="15"/>
    </row>
    <row r="73" spans="1:8" x14ac:dyDescent="0.3">
      <c r="A73" s="15"/>
      <c r="B73" s="15"/>
      <c r="C73" s="15" t="s">
        <v>443</v>
      </c>
      <c r="D73" s="15"/>
      <c r="E73" s="15"/>
      <c r="F73" s="15"/>
      <c r="G73" s="15"/>
      <c r="H73" s="15"/>
    </row>
    <row r="74" spans="1:8" x14ac:dyDescent="0.3">
      <c r="A74" s="15"/>
      <c r="B74" s="15"/>
      <c r="C74" s="15" t="s">
        <v>444</v>
      </c>
      <c r="D74" s="15"/>
      <c r="E74" s="15"/>
      <c r="F74" s="15"/>
      <c r="G74" s="15"/>
      <c r="H74" s="15"/>
    </row>
    <row r="75" spans="1:8" x14ac:dyDescent="0.3">
      <c r="A75" s="15"/>
      <c r="B75" s="15"/>
      <c r="C75" s="15" t="s">
        <v>466</v>
      </c>
      <c r="D75" s="15"/>
      <c r="E75" s="15"/>
      <c r="F75" s="15"/>
      <c r="G75" s="15"/>
      <c r="H75" s="15"/>
    </row>
    <row r="76" spans="1:8" x14ac:dyDescent="0.3">
      <c r="A76" s="15"/>
      <c r="B76" s="15"/>
      <c r="C76" s="15" t="s">
        <v>470</v>
      </c>
      <c r="D76" s="15"/>
      <c r="E76" s="15"/>
      <c r="F76" s="15"/>
      <c r="G76" s="15"/>
      <c r="H76" s="15"/>
    </row>
    <row r="77" spans="1:8" x14ac:dyDescent="0.3">
      <c r="A77" s="15"/>
      <c r="B77" s="15"/>
      <c r="C77" s="15"/>
      <c r="D77" s="15"/>
      <c r="E77" s="15"/>
      <c r="F77" s="15"/>
      <c r="G77" s="15"/>
      <c r="H77" s="15"/>
    </row>
    <row r="78" spans="1:8" ht="15.6" x14ac:dyDescent="0.3">
      <c r="A78" s="17" t="s">
        <v>415</v>
      </c>
      <c r="B78" s="15"/>
      <c r="C78" s="15"/>
      <c r="D78" s="15"/>
      <c r="E78" s="15"/>
      <c r="F78" s="15"/>
      <c r="G78" s="15"/>
      <c r="H78" s="15"/>
    </row>
    <row r="79" spans="1:8" x14ac:dyDescent="0.3">
      <c r="A79" s="15"/>
      <c r="B79" s="15"/>
      <c r="C79" s="15"/>
      <c r="D79" s="15"/>
      <c r="E79" s="15"/>
      <c r="F79" s="15"/>
      <c r="G79" s="15"/>
      <c r="H79" s="15"/>
    </row>
    <row r="80" spans="1:8" x14ac:dyDescent="0.3">
      <c r="A80" s="15"/>
      <c r="B80" s="15" t="s">
        <v>416</v>
      </c>
      <c r="C80" s="15"/>
      <c r="D80" s="15"/>
      <c r="E80" s="15"/>
      <c r="F80" s="15"/>
      <c r="G80" s="15"/>
      <c r="H80" s="15"/>
    </row>
    <row r="81" spans="1:8" x14ac:dyDescent="0.3">
      <c r="A81" s="15"/>
      <c r="B81" s="15"/>
      <c r="C81" s="15" t="s">
        <v>417</v>
      </c>
      <c r="D81" s="15"/>
      <c r="E81" s="15"/>
      <c r="F81" s="15"/>
      <c r="G81" s="15"/>
      <c r="H81" s="15"/>
    </row>
    <row r="82" spans="1:8" x14ac:dyDescent="0.3">
      <c r="A82" s="15"/>
      <c r="B82" s="15"/>
      <c r="C82" s="15" t="s">
        <v>418</v>
      </c>
      <c r="D82" s="15"/>
      <c r="E82" s="15"/>
      <c r="F82" s="15"/>
      <c r="G82" s="15"/>
      <c r="H82" s="15"/>
    </row>
    <row r="83" spans="1:8" x14ac:dyDescent="0.3">
      <c r="A83" s="15"/>
      <c r="B83" s="15"/>
      <c r="C83" s="15" t="s">
        <v>419</v>
      </c>
      <c r="D83" s="15"/>
      <c r="E83" s="15"/>
      <c r="F83" s="15"/>
      <c r="G83" s="15"/>
      <c r="H83" s="15"/>
    </row>
    <row r="84" spans="1:8" x14ac:dyDescent="0.3">
      <c r="A84" s="15"/>
      <c r="B84" s="15"/>
      <c r="C84" s="15" t="s">
        <v>421</v>
      </c>
      <c r="D84" s="15"/>
      <c r="E84" s="15"/>
      <c r="F84" s="15"/>
      <c r="G84" s="15"/>
      <c r="H84" s="15"/>
    </row>
    <row r="85" spans="1:8" x14ac:dyDescent="0.3">
      <c r="A85" s="15"/>
      <c r="B85" s="15"/>
      <c r="C85" s="15" t="s">
        <v>420</v>
      </c>
      <c r="D85" s="15"/>
      <c r="E85" s="15"/>
      <c r="F85" s="15"/>
      <c r="G85" s="15"/>
      <c r="H85" s="15"/>
    </row>
    <row r="86" spans="1:8" x14ac:dyDescent="0.3">
      <c r="A86" s="15"/>
      <c r="B86" s="15"/>
      <c r="C86" s="15"/>
      <c r="D86" s="15"/>
      <c r="E86" s="15"/>
      <c r="F86" s="15"/>
      <c r="G86" s="15"/>
      <c r="H86" s="15"/>
    </row>
    <row r="87" spans="1:8" x14ac:dyDescent="0.3">
      <c r="A87" s="15"/>
      <c r="B87" s="20" t="s">
        <v>469</v>
      </c>
      <c r="C87" s="15"/>
      <c r="D87" s="15"/>
      <c r="E87" s="15"/>
      <c r="F87" s="15"/>
      <c r="G87" s="15"/>
      <c r="H87" s="15"/>
    </row>
    <row r="88" spans="1:8" x14ac:dyDescent="0.3">
      <c r="A88" s="15"/>
      <c r="B88" s="15"/>
      <c r="C88" s="15"/>
      <c r="D88" s="15"/>
      <c r="E88" s="15"/>
      <c r="F88" s="15"/>
      <c r="G88" s="15"/>
      <c r="H88" s="15"/>
    </row>
    <row r="89" spans="1:8" x14ac:dyDescent="0.3">
      <c r="A89" s="15"/>
      <c r="B89" s="15"/>
      <c r="C89" s="15"/>
      <c r="D89" s="15"/>
      <c r="E89" s="15"/>
      <c r="F89" s="15"/>
      <c r="G89" s="15"/>
      <c r="H89" s="15"/>
    </row>
    <row r="90" spans="1:8" ht="15.6" x14ac:dyDescent="0.3">
      <c r="A90" s="17" t="s">
        <v>426</v>
      </c>
      <c r="B90" s="15"/>
      <c r="C90" s="15"/>
      <c r="D90" s="15"/>
      <c r="E90" s="15"/>
      <c r="F90" s="15"/>
      <c r="G90" s="15"/>
      <c r="H90" s="15"/>
    </row>
    <row r="91" spans="1:8" x14ac:dyDescent="0.3">
      <c r="A91" s="15"/>
      <c r="B91" s="15"/>
      <c r="C91" s="15"/>
      <c r="D91" s="15"/>
      <c r="E91" s="15"/>
      <c r="F91" s="15"/>
      <c r="G91" s="15"/>
      <c r="H91" s="15"/>
    </row>
    <row r="92" spans="1:8" x14ac:dyDescent="0.3">
      <c r="A92" s="16" t="s">
        <v>427</v>
      </c>
      <c r="B92" s="15"/>
      <c r="C92" s="15"/>
      <c r="D92" s="15"/>
      <c r="E92" s="15"/>
      <c r="F92" s="15"/>
      <c r="G92" s="15"/>
      <c r="H92" s="15"/>
    </row>
    <row r="93" spans="1:8" x14ac:dyDescent="0.3">
      <c r="A93" s="15"/>
      <c r="B93" s="21" t="s">
        <v>428</v>
      </c>
      <c r="C93" s="15"/>
      <c r="D93" s="15"/>
      <c r="E93" s="15"/>
      <c r="F93" s="15"/>
      <c r="G93" s="15"/>
      <c r="H93" s="15"/>
    </row>
    <row r="94" spans="1:8" x14ac:dyDescent="0.3">
      <c r="A94" s="15"/>
      <c r="B94" s="15"/>
      <c r="C94" s="15" t="s">
        <v>417</v>
      </c>
      <c r="D94" s="15"/>
      <c r="E94" s="15"/>
      <c r="F94" s="15"/>
      <c r="G94" s="15"/>
      <c r="H94" s="15"/>
    </row>
    <row r="95" spans="1:8" x14ac:dyDescent="0.3">
      <c r="A95" s="15"/>
      <c r="B95" s="15"/>
      <c r="C95" s="15" t="s">
        <v>418</v>
      </c>
      <c r="D95" s="15"/>
      <c r="E95" s="15"/>
      <c r="F95" s="15"/>
      <c r="G95" s="15"/>
      <c r="H95" s="15"/>
    </row>
    <row r="96" spans="1:8" x14ac:dyDescent="0.3">
      <c r="A96" s="15"/>
      <c r="B96" s="15"/>
      <c r="C96" s="15" t="s">
        <v>419</v>
      </c>
      <c r="D96" s="15"/>
      <c r="E96" s="15"/>
      <c r="F96" s="15"/>
      <c r="G96" s="15"/>
      <c r="H96" s="15"/>
    </row>
    <row r="97" spans="1:8" x14ac:dyDescent="0.3">
      <c r="A97" s="15"/>
      <c r="B97" s="15"/>
      <c r="C97" s="15" t="s">
        <v>429</v>
      </c>
      <c r="D97" s="15"/>
      <c r="E97" s="15"/>
      <c r="F97" s="15"/>
      <c r="G97" s="15"/>
      <c r="H97" s="15"/>
    </row>
    <row r="98" spans="1:8" x14ac:dyDescent="0.3">
      <c r="A98" s="15"/>
      <c r="B98" s="15"/>
      <c r="C98" s="15" t="s">
        <v>430</v>
      </c>
      <c r="D98" s="15"/>
      <c r="E98" s="15"/>
      <c r="F98" s="15"/>
      <c r="G98" s="15"/>
      <c r="H98" s="15"/>
    </row>
    <row r="99" spans="1:8" x14ac:dyDescent="0.3">
      <c r="A99" s="15"/>
      <c r="B99" s="15"/>
      <c r="C99" s="15"/>
      <c r="D99" s="15"/>
      <c r="E99" s="15"/>
      <c r="F99" s="15"/>
      <c r="G99" s="15"/>
      <c r="H99" s="15"/>
    </row>
    <row r="100" spans="1:8" x14ac:dyDescent="0.3">
      <c r="A100" s="15"/>
      <c r="B100" s="21" t="s">
        <v>431</v>
      </c>
      <c r="C100" s="21"/>
      <c r="D100" s="21"/>
      <c r="E100" s="15"/>
      <c r="F100" s="15"/>
      <c r="G100" s="15"/>
      <c r="H100" s="15"/>
    </row>
    <row r="101" spans="1:8" x14ac:dyDescent="0.3">
      <c r="A101" s="15"/>
      <c r="B101" s="21" t="s">
        <v>432</v>
      </c>
      <c r="C101" s="21"/>
      <c r="D101" s="21"/>
      <c r="E101" s="15"/>
      <c r="F101" s="15"/>
      <c r="G101" s="15"/>
      <c r="H101" s="15"/>
    </row>
    <row r="102" spans="1:8" x14ac:dyDescent="0.3">
      <c r="A102" s="15"/>
      <c r="B102" s="15"/>
      <c r="C102" s="15"/>
      <c r="D102" s="15"/>
      <c r="E102" s="15"/>
      <c r="F102" s="15"/>
      <c r="G102" s="15"/>
      <c r="H102" s="15"/>
    </row>
    <row r="103" spans="1:8" x14ac:dyDescent="0.3">
      <c r="A103" s="15"/>
      <c r="B103" s="21" t="s">
        <v>433</v>
      </c>
      <c r="C103" s="21"/>
      <c r="D103" s="15"/>
      <c r="E103" s="15"/>
      <c r="F103" s="15"/>
      <c r="G103" s="15"/>
      <c r="H103" s="15"/>
    </row>
    <row r="104" spans="1:8" x14ac:dyDescent="0.3">
      <c r="A104" s="15"/>
      <c r="B104" s="15"/>
      <c r="C104" s="16" t="s">
        <v>445</v>
      </c>
      <c r="D104" s="15"/>
      <c r="E104" s="15"/>
      <c r="F104" s="15"/>
      <c r="G104" s="15"/>
      <c r="H104" s="15"/>
    </row>
    <row r="105" spans="1:8" x14ac:dyDescent="0.3">
      <c r="A105" s="15"/>
      <c r="B105" s="15"/>
      <c r="C105" s="16" t="s">
        <v>446</v>
      </c>
      <c r="D105" s="15"/>
      <c r="E105" s="15"/>
      <c r="F105" s="15"/>
      <c r="G105" s="15"/>
      <c r="H105" s="15"/>
    </row>
    <row r="106" spans="1:8" x14ac:dyDescent="0.3">
      <c r="A106" s="15"/>
      <c r="B106" s="15"/>
      <c r="C106" s="16" t="s">
        <v>447</v>
      </c>
      <c r="D106" s="15"/>
      <c r="E106" s="15"/>
      <c r="F106" s="15"/>
      <c r="G106" s="15"/>
      <c r="H106" s="15"/>
    </row>
    <row r="107" spans="1:8" x14ac:dyDescent="0.3">
      <c r="A107" s="15"/>
      <c r="B107" s="15"/>
      <c r="C107" s="16"/>
      <c r="D107" s="15"/>
      <c r="E107" s="15"/>
      <c r="F107" s="15"/>
      <c r="G107" s="15"/>
      <c r="H107" s="15"/>
    </row>
    <row r="108" spans="1:8" x14ac:dyDescent="0.3">
      <c r="A108" s="15"/>
      <c r="B108" s="21" t="s">
        <v>434</v>
      </c>
      <c r="C108" s="21"/>
      <c r="D108" s="21"/>
      <c r="E108" s="15"/>
      <c r="F108" s="15"/>
      <c r="G108" s="15"/>
      <c r="H108" s="15"/>
    </row>
    <row r="109" spans="1:8" x14ac:dyDescent="0.3">
      <c r="A109" s="15"/>
      <c r="B109" s="15"/>
      <c r="C109" s="15" t="s">
        <v>435</v>
      </c>
      <c r="D109" s="15"/>
      <c r="E109" s="15"/>
      <c r="F109" s="15"/>
      <c r="G109" s="15"/>
      <c r="H109" s="15"/>
    </row>
    <row r="110" spans="1:8" x14ac:dyDescent="0.3">
      <c r="A110" s="15"/>
      <c r="B110" s="15"/>
      <c r="C110" s="15" t="s">
        <v>436</v>
      </c>
      <c r="D110" s="15"/>
      <c r="E110" s="15"/>
      <c r="F110" s="15"/>
      <c r="G110" s="15"/>
      <c r="H110" s="15"/>
    </row>
    <row r="111" spans="1:8" x14ac:dyDescent="0.3">
      <c r="A111" s="15"/>
      <c r="B111" s="21" t="s">
        <v>437</v>
      </c>
      <c r="C111" s="21"/>
      <c r="D111" s="21"/>
      <c r="E111" s="21"/>
      <c r="F111" s="21"/>
      <c r="G111" s="15"/>
      <c r="H111" s="15"/>
    </row>
    <row r="112" spans="1:8" x14ac:dyDescent="0.3">
      <c r="A112" s="15"/>
      <c r="B112" s="21" t="s">
        <v>438</v>
      </c>
      <c r="C112" s="21"/>
      <c r="D112" s="21"/>
      <c r="E112" s="21"/>
      <c r="F112" s="21"/>
      <c r="G112" s="15"/>
      <c r="H112" s="15"/>
    </row>
    <row r="113" spans="1:8" x14ac:dyDescent="0.3">
      <c r="A113" s="15"/>
      <c r="B113" s="15"/>
      <c r="C113" s="15"/>
      <c r="D113" s="15"/>
      <c r="E113" s="15"/>
      <c r="F113" s="15"/>
      <c r="G113" s="15"/>
      <c r="H113" s="15"/>
    </row>
    <row r="114" spans="1:8" x14ac:dyDescent="0.3">
      <c r="A114" s="15"/>
      <c r="B114" s="15"/>
      <c r="C114" s="15"/>
      <c r="D114" s="15"/>
      <c r="E114" s="15"/>
      <c r="F114" s="15"/>
      <c r="G114" s="15"/>
      <c r="H114" s="15"/>
    </row>
    <row r="115" spans="1:8" x14ac:dyDescent="0.3">
      <c r="A115" s="15"/>
      <c r="B115" s="15"/>
      <c r="C115" s="15"/>
      <c r="D115" s="15"/>
      <c r="E115" s="15"/>
      <c r="F115" s="15"/>
      <c r="G115" s="15"/>
      <c r="H115" s="1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6A9E-B6EE-4E9E-9A8F-18F059B52FDC}">
  <dimension ref="A2:G18"/>
  <sheetViews>
    <sheetView zoomScale="82" workbookViewId="0">
      <selection activeCell="I4" sqref="I4"/>
    </sheetView>
  </sheetViews>
  <sheetFormatPr defaultRowHeight="14.4" x14ac:dyDescent="0.3"/>
  <cols>
    <col min="1" max="1" width="10.77734375" bestFit="1" customWidth="1"/>
    <col min="2" max="2" width="18.33203125" bestFit="1" customWidth="1"/>
    <col min="3" max="3" width="11.5546875" bestFit="1" customWidth="1"/>
    <col min="4" max="4" width="10.77734375" bestFit="1" customWidth="1"/>
    <col min="5" max="5" width="18.6640625" bestFit="1" customWidth="1"/>
    <col min="6" max="6" width="10.77734375" bestFit="1" customWidth="1"/>
    <col min="7" max="7" width="21.6640625" bestFit="1" customWidth="1"/>
  </cols>
  <sheetData>
    <row r="2" spans="1:7" x14ac:dyDescent="0.3">
      <c r="A2" s="12" t="s">
        <v>3</v>
      </c>
      <c r="B2" t="s">
        <v>424</v>
      </c>
      <c r="D2" s="12" t="s">
        <v>1</v>
      </c>
      <c r="E2" t="s">
        <v>425</v>
      </c>
    </row>
    <row r="3" spans="1:7" x14ac:dyDescent="0.3">
      <c r="A3" s="13" t="s">
        <v>13</v>
      </c>
      <c r="B3" s="14">
        <v>4853531.8899999978</v>
      </c>
      <c r="D3" s="13" t="s">
        <v>11</v>
      </c>
      <c r="E3" s="14">
        <v>6484450</v>
      </c>
    </row>
    <row r="4" spans="1:7" x14ac:dyDescent="0.3">
      <c r="A4" s="13" t="s">
        <v>23</v>
      </c>
      <c r="B4" s="14">
        <v>3684276.4300000006</v>
      </c>
      <c r="D4" s="13" t="s">
        <v>22</v>
      </c>
      <c r="E4" s="14">
        <v>5062600.7300000004</v>
      </c>
    </row>
    <row r="5" spans="1:7" x14ac:dyDescent="0.3">
      <c r="A5" s="13" t="s">
        <v>42</v>
      </c>
      <c r="B5" s="14">
        <v>4519876.129999998</v>
      </c>
      <c r="D5" s="13" t="s">
        <v>48</v>
      </c>
      <c r="E5" s="14">
        <v>4006353.2699999986</v>
      </c>
    </row>
    <row r="6" spans="1:7" x14ac:dyDescent="0.3">
      <c r="A6" s="13" t="s">
        <v>19</v>
      </c>
      <c r="B6" s="14">
        <v>3874198.3699999992</v>
      </c>
      <c r="D6" s="13" t="s">
        <v>17</v>
      </c>
      <c r="E6" s="14">
        <v>5828220.9600000009</v>
      </c>
    </row>
    <row r="7" spans="1:7" x14ac:dyDescent="0.3">
      <c r="A7" s="13" t="s">
        <v>27</v>
      </c>
      <c r="B7" s="14">
        <v>4449742.1400000006</v>
      </c>
      <c r="D7" s="13" t="s">
        <v>398</v>
      </c>
      <c r="E7" s="14"/>
    </row>
    <row r="8" spans="1:7" x14ac:dyDescent="0.3">
      <c r="A8" s="13" t="s">
        <v>398</v>
      </c>
      <c r="B8" s="14"/>
      <c r="D8" s="13" t="s">
        <v>399</v>
      </c>
      <c r="E8" s="14">
        <v>21381624.960000001</v>
      </c>
    </row>
    <row r="9" spans="1:7" x14ac:dyDescent="0.3">
      <c r="A9" s="13" t="s">
        <v>399</v>
      </c>
      <c r="B9" s="14">
        <v>21381624.959999993</v>
      </c>
    </row>
    <row r="12" spans="1:7" x14ac:dyDescent="0.3">
      <c r="A12" s="12" t="s">
        <v>1</v>
      </c>
      <c r="B12" t="s">
        <v>423</v>
      </c>
      <c r="F12" s="12" t="s">
        <v>0</v>
      </c>
      <c r="G12" t="s">
        <v>422</v>
      </c>
    </row>
    <row r="13" spans="1:7" x14ac:dyDescent="0.3">
      <c r="A13" s="13" t="s">
        <v>11</v>
      </c>
      <c r="B13" s="14">
        <v>23861.589000000004</v>
      </c>
      <c r="F13" s="13" t="s">
        <v>362</v>
      </c>
      <c r="G13" s="14">
        <v>239220.11</v>
      </c>
    </row>
    <row r="14" spans="1:7" x14ac:dyDescent="0.3">
      <c r="A14" s="13" t="s">
        <v>22</v>
      </c>
      <c r="B14" s="14">
        <v>29128.169743589729</v>
      </c>
      <c r="F14" s="13" t="s">
        <v>259</v>
      </c>
      <c r="G14" s="14">
        <v>235447.36000000002</v>
      </c>
    </row>
    <row r="15" spans="1:7" x14ac:dyDescent="0.3">
      <c r="A15" s="13" t="s">
        <v>48</v>
      </c>
      <c r="B15" s="14">
        <v>27081.09486842106</v>
      </c>
      <c r="F15" s="13" t="s">
        <v>170</v>
      </c>
      <c r="G15" s="14">
        <v>232738.38</v>
      </c>
    </row>
    <row r="16" spans="1:7" x14ac:dyDescent="0.3">
      <c r="A16" s="13" t="s">
        <v>17</v>
      </c>
      <c r="B16" s="14">
        <v>23523.964270833327</v>
      </c>
      <c r="F16" s="13" t="s">
        <v>184</v>
      </c>
      <c r="G16" s="14">
        <v>220772.37</v>
      </c>
    </row>
    <row r="17" spans="1:7" x14ac:dyDescent="0.3">
      <c r="A17" s="13" t="s">
        <v>398</v>
      </c>
      <c r="B17" s="14"/>
      <c r="F17" s="13" t="s">
        <v>193</v>
      </c>
      <c r="G17" s="14">
        <v>220534.8</v>
      </c>
    </row>
    <row r="18" spans="1:7" x14ac:dyDescent="0.3">
      <c r="A18" s="13" t="s">
        <v>399</v>
      </c>
      <c r="B18" s="14">
        <v>25641.771199999996</v>
      </c>
      <c r="F18" s="13" t="s">
        <v>399</v>
      </c>
      <c r="G18" s="14">
        <v>1148713.02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Sheet6</vt:lpstr>
      <vt:lpstr>Dataset</vt:lpstr>
      <vt:lpstr>Mapping</vt:lpstr>
      <vt:lpstr>Assignment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 Goel</dc:creator>
  <cp:lastModifiedBy>Priya Goel</cp:lastModifiedBy>
  <dcterms:created xsi:type="dcterms:W3CDTF">2025-12-25T11:14:09Z</dcterms:created>
  <dcterms:modified xsi:type="dcterms:W3CDTF">2025-12-25T14:27:38Z</dcterms:modified>
</cp:coreProperties>
</file>